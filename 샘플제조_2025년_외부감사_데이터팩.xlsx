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0de4d2f15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안내" sheetId="1" r:id="Re9d67a5d18924bcd"/>
    <x:sheet xmlns:r="http://schemas.openxmlformats.org/officeDocument/2006/relationships" name="02_PBC목록" sheetId="2" r:id="R231d899ce6564644"/>
    <x:sheet xmlns:r="http://schemas.openxmlformats.org/officeDocument/2006/relationships" name="03_시산표" sheetId="3" r:id="R0a366b138d674b01"/>
    <x:sheet xmlns:r="http://schemas.openxmlformats.org/officeDocument/2006/relationships" name="04_총계정원장" sheetId="4" r:id="Rd55d669772a34da5"/>
    <x:sheet xmlns:r="http://schemas.openxmlformats.org/officeDocument/2006/relationships" name="05_채권명세_v1" sheetId="5" r:id="Rb938176c295849fe"/>
    <x:sheet xmlns:r="http://schemas.openxmlformats.org/officeDocument/2006/relationships" name="06_채권명세_v2" sheetId="6" r:id="R0bc52a645fba44f1"/>
    <x:sheet xmlns:r="http://schemas.openxmlformats.org/officeDocument/2006/relationships" name="07_매출증빙" sheetId="7" r:id="R5c0f10f08dc94615"/>
    <x:sheet xmlns:r="http://schemas.openxmlformats.org/officeDocument/2006/relationships" name="08_수금내역" sheetId="8" r:id="R37155a234bac4193"/>
    <x:sheet xmlns:r="http://schemas.openxmlformats.org/officeDocument/2006/relationships" name="09_은행잔액조정" sheetId="9" r:id="R37455c1362904de8"/>
    <x:sheet xmlns:r="http://schemas.openxmlformats.org/officeDocument/2006/relationships" name="10_유형자산대장" sheetId="10" r:id="Rb44f2b01565841e6"/>
    <x:sheet xmlns:r="http://schemas.openxmlformats.org/officeDocument/2006/relationships" name="11_감사조서_AR" sheetId="11" r:id="Rd815b1f8cf594b3d"/>
    <x:sheet xmlns:r="http://schemas.openxmlformats.org/officeDocument/2006/relationships" name="12_변경영향" sheetId="12" r:id="R9bce465c597f431d"/>
    <x:sheet xmlns:r="http://schemas.openxmlformats.org/officeDocument/2006/relationships" name="13_출처" sheetId="13" r:id="Rce6bcf1cea92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12">
    <x:font>
      <x:sz val="11"/>
      <x:name val="Carlito"/>
    </x:font>
    <x:font>
      <x:b/>
      <x:sz val="15"/>
      <x:color rgb="FFFFFFFF"/>
      <x:name val="Carlito"/>
    </x:font>
    <x:font>
      <x:sz val="10"/>
      <x:color rgb="FF1C2D45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2"/>
      <x:color rgb="FF2858A5"/>
      <x:name val="Carlito"/>
    </x:font>
    <x:font>
      <x:b/>
      <x:sz val="11"/>
      <x:color rgb="FF1C2D45"/>
      <x:name val="Carlito"/>
    </x:font>
    <x:font>
      <x:sz val="10"/>
      <x:color rgb="FFB42318"/>
      <x:name val="Carlito"/>
    </x:font>
    <x:font>
      <x:b/>
      <x:sz val="11"/>
      <x:color rgb="FFFFFFFF"/>
      <x:name val="Carlito"/>
    </x:font>
    <x:font>
      <x:b/>
      <x:sz val="10"/>
      <x:color rgb="FF1C2D45"/>
      <x:name val="Carlito"/>
    </x:font>
    <x:font>
      <x:sz val="11"/>
      <x:color rgb="FFB42318"/>
      <x:name val="Carlito"/>
    </x:font>
    <x:font>
      <x:sz val="11"/>
      <x:color rgb="FF1C2D4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43B"/>
      </x:patternFill>
    </x:fill>
    <x:fill>
      <x:patternFill patternType="solid">
        <x:fgColor rgb="FFEAF2FF"/>
      </x:patternFill>
    </x:fill>
    <x:fill>
      <x:patternFill patternType="solid">
        <x:fgColor rgb="FF2858A5"/>
      </x:patternFill>
    </x:fill>
    <x:fill>
      <x:patternFill patternType="solid">
        <x:fgColor rgb="FFF5F8FC"/>
      </x:patternFill>
    </x:fill>
    <x:fill>
      <x:patternFill patternType="solid">
        <x:fgColor rgb="FFDFEAF7"/>
      </x:patternFill>
    </x:fill>
    <x:fill>
      <x:patternFill patternType="solid">
        <x:fgColor rgb="FF0E8072"/>
      </x:patternFill>
    </x:fill>
    <x:fill>
      <x:patternFill patternType="solid">
        <x:fgColor rgb="FFFFF2D8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200" fontId="4" fillId="8" borderId="0" xfId="0" applyNumberFormat="1" applyFont="1" applyFill="1" applyBorder="1" applyAlignment="1">
      <x:alignment vertical="center"/>
    </x:xf>
    <x:xf numFmtId="201" fontId="4" fillId="8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201" fontId="4" fillId="8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1" fontId="4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201" fontId="9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4" fillId="6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/>
    </x:xf>
    <x:xf numFmtId="201" fontId="9" fillId="6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9fdecb9904051" /><Relationship Type="http://schemas.openxmlformats.org/officeDocument/2006/relationships/theme" Target="/xl/theme/theme1.xml" Id="Rdad53cec529542fb" /><Relationship Type="http://schemas.openxmlformats.org/officeDocument/2006/relationships/sharedStrings" Target="/xl/sharedStrings.xml" Id="R5bee4edd91884816" /><Relationship Type="http://schemas.openxmlformats.org/officeDocument/2006/relationships/worksheet" Target="/xl/worksheets/sheet1.xml" Id="Re9d67a5d18924bcd" /><Relationship Type="http://schemas.openxmlformats.org/officeDocument/2006/relationships/worksheet" Target="/xl/worksheets/sheet2.xml" Id="R231d899ce6564644" /><Relationship Type="http://schemas.openxmlformats.org/officeDocument/2006/relationships/worksheet" Target="/xl/worksheets/sheet3.xml" Id="R0a366b138d674b01" /><Relationship Type="http://schemas.openxmlformats.org/officeDocument/2006/relationships/worksheet" Target="/xl/worksheets/sheet4.xml" Id="Rd55d669772a34da5" /><Relationship Type="http://schemas.openxmlformats.org/officeDocument/2006/relationships/worksheet" Target="/xl/worksheets/sheet5.xml" Id="Rb938176c295849fe" /><Relationship Type="http://schemas.openxmlformats.org/officeDocument/2006/relationships/worksheet" Target="/xl/worksheets/sheet6.xml" Id="R0bc52a645fba44f1" /><Relationship Type="http://schemas.openxmlformats.org/officeDocument/2006/relationships/worksheet" Target="/xl/worksheets/sheet7.xml" Id="R5c0f10f08dc94615" /><Relationship Type="http://schemas.openxmlformats.org/officeDocument/2006/relationships/worksheet" Target="/xl/worksheets/sheet8.xml" Id="R37155a234bac4193" /><Relationship Type="http://schemas.openxmlformats.org/officeDocument/2006/relationships/worksheet" Target="/xl/worksheets/sheet9.xml" Id="R37455c1362904de8" /><Relationship Type="http://schemas.openxmlformats.org/officeDocument/2006/relationships/worksheet" Target="/xl/worksheets/sheet10.xml" Id="Rb44f2b01565841e6" /><Relationship Type="http://schemas.openxmlformats.org/officeDocument/2006/relationships/worksheet" Target="/xl/worksheets/sheet11.xml" Id="Rd815b1f8cf594b3d" /><Relationship Type="http://schemas.openxmlformats.org/officeDocument/2006/relationships/worksheet" Target="/xl/worksheets/sheet12.xml" Id="R9bce465c597f431d" /><Relationship Type="http://schemas.openxmlformats.org/officeDocument/2006/relationships/worksheet" Target="/xl/worksheets/sheet13.xml" Id="Rce6bcf1cea92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0" hidden="0" customWidth="1"/>
    <x:col min="3" max="3" width="25" hidden="0" customWidth="1"/>
    <x:col min="4" max="4" width="52" hidden="0" customWidth="1"/>
    <x:col min="5" max="5" width="59" hidden="0" customWidth="1"/>
  </x:cols>
  <x:sheetData>
    <x:row r="1" ht="35" customHeight="1">
      <x:c r="A1" s="4" t="str">
        <x:v>외부감사 데이터팩 | 감사자료 샘플</x:v>
      </x:c>
      <x:c r="B1" s="4"/>
      <x:c r="C1" s="4"/>
      <x:c r="D1" s="4"/>
      <x:c r="E1" s="4"/>
    </x:row>
    <x:row r="2" ht="26" customHeight="1">
      <x:c r="A2" s="10" t="str">
        <x:v>전부 가상의 더미데이터입니다 · 대상: 샘플제조(주) · 2025-12-31 결산 · 실무 구조 이해 및 Audit Proof 데모용</x:v>
      </x:c>
      <x:c r="B2" s="10"/>
      <x:c r="C2" s="10"/>
      <x:c r="D2" s="10"/>
      <x:c r="E2" s="10"/>
    </x:row>
    <x:row r="4" ht="30" customHeight="1">
      <x:c r="A4" s="17" t="str">
        <x:v>구분</x:v>
      </x:c>
      <x:c r="B4" s="17" t="str">
        <x:v>파일/시트</x:v>
      </x:c>
      <x:c r="C4" s="17" t="str">
        <x:v>누가 만드는가</x:v>
      </x:c>
      <x:c r="D4" s="17" t="str">
        <x:v>무엇을 확인하나</x:v>
      </x:c>
      <x:c r="E4" s="17" t="str">
        <x:v>Audit Proof 연결 포인트</x:v>
      </x:c>
    </x:row>
    <x:row r="5" ht="29" customHeight="1">
      <x:c r="A5" s="34" t="str">
        <x:v>START</x:v>
      </x:c>
      <x:c r="B5" s="34" t="str">
        <x:v>02_PBC목록</x:v>
      </x:c>
      <x:c r="C5" s="34" t="str">
        <x:v>회계사가 요청 / 회사가 제출</x:v>
      </x:c>
      <x:c r="D5" s="34" t="str">
        <x:v>감사 대상 기업에 필요한 자료 요청과 제출 상태 관리</x:v>
      </x:c>
      <x:c r="E5" s="34" t="str">
        <x:v>요청 자료 버전·누락 여부</x:v>
      </x:c>
    </x:row>
    <x:row r="6" ht="29" customHeight="1">
      <x:c r="A6" s="35" t="str">
        <x:v>기업 원본</x:v>
      </x:c>
      <x:c r="B6" s="35" t="str">
        <x:v>03_시산표 (TB)</x:v>
      </x:c>
      <x:c r="C6" s="35" t="str">
        <x:v>회사 경리·재무팀</x:v>
      </x:c>
      <x:c r="D6" s="35" t="str">
        <x:v>계정별 차변·대변·기말 잔액</x:v>
      </x:c>
      <x:c r="E6" s="35" t="str">
        <x:v>각 보조명세 합계와 연결</x:v>
      </x:c>
    </x:row>
    <x:row r="7" ht="29" customHeight="1">
      <x:c r="A7" s="34" t="str">
        <x:v>기업 원본</x:v>
      </x:c>
      <x:c r="B7" s="34" t="str">
        <x:v>04_총계정원장 (GL)</x:v>
      </x:c>
      <x:c r="C7" s="34" t="str">
        <x:v>회사 ERP 추출</x:v>
      </x:c>
      <x:c r="D7" s="34" t="str">
        <x:v>전표번호·계정·차변/대변·거래 증빙</x:v>
      </x:c>
      <x:c r="E7" s="34" t="str">
        <x:v>장부 거래 기준 버전</x:v>
      </x:c>
    </x:row>
    <x:row r="8" ht="29" customHeight="1">
      <x:c r="A8" s="35" t="str">
        <x:v>기업 원본</x:v>
      </x:c>
      <x:c r="B8" s="35" t="str">
        <x:v>05_채권명세_v1</x:v>
      </x:c>
      <x:c r="C8" s="35" t="str">
        <x:v>회사 재무팀</x:v>
      </x:c>
      <x:c r="D8" s="35" t="str">
        <x:v>거래처/세금계산서별 미수금·연체일</x:v>
      </x:c>
      <x:c r="E8" s="35" t="str">
        <x:v>조서 최초 작성 근거</x:v>
      </x:c>
    </x:row>
    <x:row r="9" ht="29" customHeight="1">
      <x:c r="A9" s="34" t="str">
        <x:v>기업 수정본</x:v>
      </x:c>
      <x:c r="B9" s="34" t="str">
        <x:v>06_채권명세_v2</x:v>
      </x:c>
      <x:c r="C9" s="34" t="str">
        <x:v>회사 재무팀</x:v>
      </x:c>
      <x:c r="D9" s="34" t="str">
        <x:v>일부 매출채권 금액과 만기 변경</x:v>
      </x:c>
      <x:c r="E9" s="34" t="str">
        <x:v>변경 영향 자동 추적</x:v>
      </x:c>
    </x:row>
    <x:row r="10" ht="29" customHeight="1">
      <x:c r="A10" s="35" t="str">
        <x:v>기업 증빙</x:v>
      </x:c>
      <x:c r="B10" s="35" t="str">
        <x:v>07_매출증빙</x:v>
      </x:c>
      <x:c r="C10" s="35" t="str">
        <x:v>회사 재무팀</x:v>
      </x:c>
      <x:c r="D10" s="35" t="str">
        <x:v>전자세금계산서·계약서·납품증빙의 식별자</x:v>
      </x:c>
      <x:c r="E10" s="35" t="str">
        <x:v>매출채권 진위·금액 확인</x:v>
      </x:c>
    </x:row>
    <x:row r="11" ht="29" customHeight="1">
      <x:c r="A11" s="34" t="str">
        <x:v>기업 증빙</x:v>
      </x:c>
      <x:c r="B11" s="34" t="str">
        <x:v>08_수금내역</x:v>
      </x:c>
      <x:c r="C11" s="34" t="str">
        <x:v>회사 재무팀</x:v>
      </x:c>
      <x:c r="D11" s="34" t="str">
        <x:v>은행 수금 거래와 매출채권 상계</x:v>
      </x:c>
      <x:c r="E11" s="34" t="str">
        <x:v>기말 미수금 재계산</x:v>
      </x:c>
    </x:row>
    <x:row r="12" ht="29" customHeight="1">
      <x:c r="A12" s="35" t="str">
        <x:v>기업 명세</x:v>
      </x:c>
      <x:c r="B12" s="35" t="str">
        <x:v>09_은행잔액조정</x:v>
      </x:c>
      <x:c r="C12" s="35" t="str">
        <x:v>회사 재무팀</x:v>
      </x:c>
      <x:c r="D12" s="35" t="str">
        <x:v>은행 원문 잔액과 장부 잔액 조정</x:v>
      </x:c>
      <x:c r="E12" s="35" t="str">
        <x:v>차이 검증 / 원본 은행 명세는 별도</x:v>
      </x:c>
    </x:row>
    <x:row r="13" ht="29" customHeight="1">
      <x:c r="A13" s="34" t="str">
        <x:v>기업 명세</x:v>
      </x:c>
      <x:c r="B13" s="34" t="str">
        <x:v>10_유형자산대장</x:v>
      </x:c>
      <x:c r="C13" s="34" t="str">
        <x:v>회사 재무팀</x:v>
      </x:c>
      <x:c r="D13" s="34" t="str">
        <x:v>자산 취득·감가상각·잔존장부액</x:v>
      </x:c>
      <x:c r="E13" s="34" t="str">
        <x:v>TB 자산 합계와 연결</x:v>
      </x:c>
    </x:row>
    <x:row r="14" ht="29" customHeight="1">
      <x:c r="A14" s="35" t="str">
        <x:v>감사인 조서</x:v>
      </x:c>
      <x:c r="B14" s="35" t="str">
        <x:v>11_감사조서_AR</x:v>
      </x:c>
      <x:c r="C14" s="35" t="str">
        <x:v>회계사(감사팀)</x:v>
      </x:c>
      <x:c r="D14" s="35" t="str">
        <x:v>대사·표본·증빙·검토자 결론</x:v>
      </x:c>
      <x:c r="E14" s="35" t="str">
        <x:v>기존 검토 결과의 재확인</x:v>
      </x:c>
    </x:row>
    <x:row r="15" ht="29" customHeight="1">
      <x:c r="A15" s="34" t="str">
        <x:v>자동화 데모</x:v>
      </x:c>
      <x:c r="B15" s="34" t="str">
        <x:v>12_변경영향</x:v>
      </x:c>
      <x:c r="C15" s="34" t="str">
        <x:v>Audit Proof 가상 분석</x:v>
      </x:c>
      <x:c r="D15" s="34" t="str">
        <x:v>신규 파일을 받으면 달라지는 항목</x:v>
      </x:c>
      <x:c r="E15" s="34" t="str">
        <x:v>데모 WOW 포인트</x:v>
      </x:c>
    </x:row>
    <x:row r="16" ht="29" customHeight="1">
      <x:c r="A16" s="35" t="str">
        <x:v>근거</x:v>
      </x:c>
      <x:c r="B16" s="35" t="str">
        <x:v>13_출처</x:v>
      </x:c>
      <x:c r="C16" s="35" t="str">
        <x:v>공식/공개 참고자료</x:v>
      </x:c>
      <x:c r="D16" s="35" t="str">
        <x:v>일반적 파일 유형에 대한 출처</x:v>
      </x:c>
      <x:c r="E16" s="35" t="str">
        <x:v>실무 서식은 법인마다 다름</x:v>
      </x:c>
    </x:row>
    <x:row r="18">
      <x:c r="A18" s="28" t="str">
        <x:v>읽는 순서</x:v>
      </x:c>
    </x:row>
    <x:row r="19" ht="26" customHeight="1">
      <x:c r="A19" s="30" t="str">
        <x:v>02 → 03·04 → 05 → 07·08 → 11 → 06 → 12</x:v>
      </x:c>
      <x:c r="B19" s="30"/>
      <x:c r="C19" s="30"/>
      <x:c r="D19" s="30"/>
      <x:c r="E19" s="30"/>
    </x:row>
    <x:row r="21" ht="29" customHeight="1">
      <x:c r="A21" s="32" t="str">
        <x:v>주의: 실제 감사 시에는 법인별 감사 방법론·기업 업종·적용 감사기준에 따라 요청 자료가 달라집니다.</x:v>
      </x:c>
      <x:c r="B21" s="32"/>
      <x:c r="C21" s="32"/>
      <x:c r="D21" s="32"/>
      <x:c r="E21" s="32"/>
    </x:row>
  </x:sheetData>
  <x:mergeCells>
    <x:mergeCell ref="A1:E1"/>
    <x:mergeCell ref="A2:E2"/>
    <x:mergeCell ref="A19:E19"/>
    <x:mergeCell ref="A21:E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1" hidden="0" customWidth="1"/>
    <x:col min="4" max="4" width="19" hidden="0" customWidth="1"/>
    <x:col min="5" max="5" width="15" hidden="0" customWidth="1"/>
    <x:col min="6" max="6" width="20" hidden="0" customWidth="1"/>
    <x:col min="7" max="7" width="18" hidden="0" customWidth="1"/>
    <x:col min="8" max="8" width="18" hidden="0" customWidth="1"/>
    <x:col min="9" max="9" width="36" hidden="0" customWidth="1"/>
    <x:col min="10" max="10" width="21" hidden="0" customWidth="1"/>
    <x:col min="11" max="11" width="43" hidden="0" customWidth="1"/>
  </x:cols>
  <x:sheetData>
    <x:row r="1" ht="35" customHeight="1">
      <x:c r="A1" s="4" t="str">
        <x:v>PBC | 감사자료 요청·수령 목록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10" t="str">
        <x:v>PBC = Prepared/Provided by Client · 실제 회사가 전달할 파일을 감사팀이 관리하는 표의 예시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0" customHeight="1">
      <x:c r="A4" s="17" t="str">
        <x:v>요청 ID</x:v>
      </x:c>
      <x:c r="B4" s="17" t="str">
        <x:v>감사 영역</x:v>
      </x:c>
      <x:c r="C4" s="17" t="str">
        <x:v>요청 자료</x:v>
      </x:c>
      <x:c r="D4" s="17" t="str">
        <x:v>요청 기준일</x:v>
      </x:c>
      <x:c r="E4" s="17" t="str">
        <x:v>제출 형식</x:v>
      </x:c>
      <x:c r="F4" s="17" t="str">
        <x:v>담당 부서</x:v>
      </x:c>
      <x:c r="G4" s="17" t="str">
        <x:v>기한</x:v>
      </x:c>
      <x:c r="H4" s="17" t="str">
        <x:v>제출 상태</x:v>
      </x:c>
      <x:c r="I4" s="17" t="str">
        <x:v>제출 파일</x:v>
      </x:c>
      <x:c r="J4" s="17" t="str">
        <x:v>감사인 검토</x:v>
      </x:c>
      <x:c r="K4" s="17" t="str">
        <x:v>비고</x:v>
      </x:c>
    </x:row>
    <x:row r="5" ht="27" customHeight="1">
      <x:c r="A5" s="24" t="str">
        <x:v>PBC-001</x:v>
      </x:c>
      <x:c r="B5" s="24" t="str">
        <x:v>공통</x:v>
      </x:c>
      <x:c r="C5" s="34" t="str">
        <x:v>합계잔액시산표</x:v>
      </x:c>
      <x:c r="D5" s="24" t="str">
        <x:v>2025-12-31</x:v>
      </x:c>
      <x:c r="E5" s="24" t="str">
        <x:v>Excel</x:v>
      </x:c>
      <x:c r="F5" s="24" t="str">
        <x:v>재무팀</x:v>
      </x:c>
      <x:c r="G5" s="24" t="str">
        <x:v>2026-02-09</x:v>
      </x:c>
      <x:c r="H5" s="24" t="str">
        <x:v>검토완료</x:v>
      </x:c>
      <x:c r="I5" s="24" t="str">
        <x:v>TB_2025.xlsx</x:v>
      </x:c>
      <x:c r="J5" s="24" t="str">
        <x:v>완료</x:v>
      </x:c>
      <x:c r="K5" s="34" t="str">
        <x:v>기말 잔액과 총계정원장 대사</x:v>
      </x:c>
    </x:row>
    <x:row r="6" ht="27" customHeight="1">
      <x:c r="A6" s="26" t="str">
        <x:v>PBC-002</x:v>
      </x:c>
      <x:c r="B6" s="26" t="str">
        <x:v>공통</x:v>
      </x:c>
      <x:c r="C6" s="35" t="str">
        <x:v>총계정원장</x:v>
      </x:c>
      <x:c r="D6" s="26" t="str">
        <x:v>2025년 전체</x:v>
      </x:c>
      <x:c r="E6" s="26" t="str">
        <x:v>Excel/CSV</x:v>
      </x:c>
      <x:c r="F6" s="26" t="str">
        <x:v>재무팀</x:v>
      </x:c>
      <x:c r="G6" s="26" t="str">
        <x:v>2026-02-09</x:v>
      </x:c>
      <x:c r="H6" s="26" t="str">
        <x:v>검토완료</x:v>
      </x:c>
      <x:c r="I6" s="26" t="str">
        <x:v>GL_2025.xlsx</x:v>
      </x:c>
      <x:c r="J6" s="26" t="str">
        <x:v>완료</x:v>
      </x:c>
      <x:c r="K6" s="35" t="str">
        <x:v>전표별 차변·대변 균형</x:v>
      </x:c>
    </x:row>
    <x:row r="7" ht="27" customHeight="1">
      <x:c r="A7" s="24" t="str">
        <x:v>PBC-003</x:v>
      </x:c>
      <x:c r="B7" s="24" t="str">
        <x:v>매출채권</x:v>
      </x:c>
      <x:c r="C7" s="34" t="str">
        <x:v>거래처별 채권 명세</x:v>
      </x:c>
      <x:c r="D7" s="24" t="str">
        <x:v>2025-12-31</x:v>
      </x:c>
      <x:c r="E7" s="24" t="str">
        <x:v>Excel</x:v>
      </x:c>
      <x:c r="F7" s="24" t="str">
        <x:v>영업관리팀</x:v>
      </x:c>
      <x:c r="G7" s="24" t="str">
        <x:v>2026-02-09</x:v>
      </x:c>
      <x:c r="H7" s="24" t="str">
        <x:v>수정 제출</x:v>
      </x:c>
      <x:c r="I7" s="24" t="str">
        <x:v>AR_Aging_v2.xlsx</x:v>
      </x:c>
      <x:c r="J7" s="24" t="str">
        <x:v>추가 검토</x:v>
      </x:c>
      <x:c r="K7" s="34" t="str">
        <x:v>2026-02-16 수정본 재제출</x:v>
      </x:c>
    </x:row>
    <x:row r="8" ht="27" customHeight="1">
      <x:c r="A8" s="26" t="str">
        <x:v>PBC-004</x:v>
      </x:c>
      <x:c r="B8" s="26" t="str">
        <x:v>매출</x:v>
      </x:c>
      <x:c r="C8" s="35" t="str">
        <x:v>매출세금계산서 목록</x:v>
      </x:c>
      <x:c r="D8" s="26" t="str">
        <x:v>2025년 전체</x:v>
      </x:c>
      <x:c r="E8" s="26" t="str">
        <x:v>Excel/XML</x:v>
      </x:c>
      <x:c r="F8" s="26" t="str">
        <x:v>재무팀</x:v>
      </x:c>
      <x:c r="G8" s="26" t="str">
        <x:v>2026-02-10</x:v>
      </x:c>
      <x:c r="H8" s="26" t="str">
        <x:v>검토완료</x:v>
      </x:c>
      <x:c r="I8" s="26" t="str">
        <x:v>Sales_Invoice.xlsx</x:v>
      </x:c>
      <x:c r="J8" s="26" t="str">
        <x:v>완료</x:v>
      </x:c>
      <x:c r="K8" s="35" t="str">
        <x:v>선정 표본은 원문 XML도 확인</x:v>
      </x:c>
    </x:row>
    <x:row r="9" ht="27" customHeight="1">
      <x:c r="A9" s="24" t="str">
        <x:v>PBC-005</x:v>
      </x:c>
      <x:c r="B9" s="24" t="str">
        <x:v>매출채권</x:v>
      </x:c>
      <x:c r="C9" s="34" t="str">
        <x:v>기말 후 수금내역</x:v>
      </x:c>
      <x:c r="D9" s="24" t="str">
        <x:v>2025-12-31 이후</x:v>
      </x:c>
      <x:c r="E9" s="24" t="str">
        <x:v>Excel/PDF</x:v>
      </x:c>
      <x:c r="F9" s="24" t="str">
        <x:v>자금팀</x:v>
      </x:c>
      <x:c r="G9" s="24" t="str">
        <x:v>2026-02-11</x:v>
      </x:c>
      <x:c r="H9" s="24" t="str">
        <x:v>요청중</x:v>
      </x:c>
      <x:c r="I9" s="24" t="str">
        <x:v>—</x:v>
      </x:c>
      <x:c r="J9" s="24" t="str">
        <x:v>미검토</x:v>
      </x:c>
      <x:c r="K9" s="34" t="str">
        <x:v>기말 이후 수금 내역은 본 데모에 포함하지 않음</x:v>
      </x:c>
    </x:row>
    <x:row r="10" ht="27" customHeight="1">
      <x:c r="A10" s="26" t="str">
        <x:v>PBC-006</x:v>
      </x:c>
      <x:c r="B10" s="26" t="str">
        <x:v>현금</x:v>
      </x:c>
      <x:c r="C10" s="35" t="str">
        <x:v>기말 은행잔액조정표</x:v>
      </x:c>
      <x:c r="D10" s="26" t="str">
        <x:v>2025-12-31</x:v>
      </x:c>
      <x:c r="E10" s="26" t="str">
        <x:v>Excel</x:v>
      </x:c>
      <x:c r="F10" s="26" t="str">
        <x:v>자금팀</x:v>
      </x:c>
      <x:c r="G10" s="26" t="str">
        <x:v>2026-02-10</x:v>
      </x:c>
      <x:c r="H10" s="26" t="str">
        <x:v>제출완료</x:v>
      </x:c>
      <x:c r="I10" s="26" t="str">
        <x:v>Bank_Recon_2025.xlsx</x:v>
      </x:c>
      <x:c r="J10" s="26" t="str">
        <x:v>검토중</x:v>
      </x:c>
      <x:c r="K10" s="35" t="str">
        <x:v>은행 확인 원문 증빙은 별도</x:v>
      </x:c>
    </x:row>
    <x:row r="11" ht="27" customHeight="1">
      <x:c r="A11" s="24" t="str">
        <x:v>PBC-007</x:v>
      </x:c>
      <x:c r="B11" s="24" t="str">
        <x:v>현금</x:v>
      </x:c>
      <x:c r="C11" s="34" t="str">
        <x:v>은행거래내역·잔액증명</x:v>
      </x:c>
      <x:c r="D11" s="24" t="str">
        <x:v>2025-12-31</x:v>
      </x:c>
      <x:c r="E11" s="24" t="str">
        <x:v>PDF</x:v>
      </x:c>
      <x:c r="F11" s="24" t="str">
        <x:v>자금팀</x:v>
      </x:c>
      <x:c r="G11" s="24" t="str">
        <x:v>2026-02-10</x:v>
      </x:c>
      <x:c r="H11" s="24" t="str">
        <x:v>요청중</x:v>
      </x:c>
      <x:c r="I11" s="24" t="str">
        <x:v>—</x:v>
      </x:c>
      <x:c r="J11" s="24" t="str">
        <x:v>미검토</x:v>
      </x:c>
      <x:c r="K11" s="34" t="str">
        <x:v>외부조회 회신은 감사인 통제하에 수령</x:v>
      </x:c>
    </x:row>
    <x:row r="12" ht="27" customHeight="1">
      <x:c r="A12" s="26" t="str">
        <x:v>PBC-008</x:v>
      </x:c>
      <x:c r="B12" s="26" t="str">
        <x:v>유형자산</x:v>
      </x:c>
      <x:c r="C12" s="35" t="str">
        <x:v>유형자산 및 감가상각 명세</x:v>
      </x:c>
      <x:c r="D12" s="26" t="str">
        <x:v>2025-12-31</x:v>
      </x:c>
      <x:c r="E12" s="26" t="str">
        <x:v>Excel</x:v>
      </x:c>
      <x:c r="F12" s="26" t="str">
        <x:v>재무팀</x:v>
      </x:c>
      <x:c r="G12" s="26" t="str">
        <x:v>2026-02-11</x:v>
      </x:c>
      <x:c r="H12" s="26" t="str">
        <x:v>제출완료</x:v>
      </x:c>
      <x:c r="I12" s="26" t="str">
        <x:v>FA_2025.xlsx</x:v>
      </x:c>
      <x:c r="J12" s="26" t="str">
        <x:v>검토중</x:v>
      </x:c>
      <x:c r="K12" s="35" t="str">
        <x:v>취득증빙 별도 요청</x:v>
      </x:c>
    </x:row>
    <x:row r="13" ht="27" customHeight="1">
      <x:c r="A13" s="24" t="str">
        <x:v>PBC-009</x:v>
      </x:c>
      <x:c r="B13" s="24" t="str">
        <x:v>매입채무</x:v>
      </x:c>
      <x:c r="C13" s="34" t="str">
        <x:v>거래처별 매입채무 명세</x:v>
      </x:c>
      <x:c r="D13" s="24" t="str">
        <x:v>2025-12-31</x:v>
      </x:c>
      <x:c r="E13" s="24" t="str">
        <x:v>Excel</x:v>
      </x:c>
      <x:c r="F13" s="24" t="str">
        <x:v>재무팀</x:v>
      </x:c>
      <x:c r="G13" s="24" t="str">
        <x:v>2026-02-11</x:v>
      </x:c>
      <x:c r="H13" s="24" t="str">
        <x:v>요청중</x:v>
      </x:c>
      <x:c r="I13" s="24" t="str">
        <x:v>—</x:v>
      </x:c>
      <x:c r="J13" s="24" t="str">
        <x:v>미검토</x:v>
      </x:c>
      <x:c r="K13" s="34" t="str">
        <x:v>TB 매입채무와 대사</x:v>
      </x:c>
    </x:row>
    <x:row r="14" ht="27" customHeight="1">
      <x:c r="A14" s="26" t="str">
        <x:v>PBC-010</x:v>
      </x:c>
      <x:c r="B14" s="26" t="str">
        <x:v>재고</x:v>
      </x:c>
      <x:c r="C14" s="35" t="str">
        <x:v>기말 재고수불부·실사자료</x:v>
      </x:c>
      <x:c r="D14" s="26" t="str">
        <x:v>2025-12-31</x:v>
      </x:c>
      <x:c r="E14" s="26" t="str">
        <x:v>Excel/PDF</x:v>
      </x:c>
      <x:c r="F14" s="26" t="str">
        <x:v>생산관리팀</x:v>
      </x:c>
      <x:c r="G14" s="26" t="str">
        <x:v>2026-02-11</x:v>
      </x:c>
      <x:c r="H14" s="26" t="str">
        <x:v>요청중</x:v>
      </x:c>
      <x:c r="I14" s="26" t="str">
        <x:v>—</x:v>
      </x:c>
      <x:c r="J14" s="26" t="str">
        <x:v>미검토</x:v>
      </x:c>
      <x:c r="K14" s="35" t="str">
        <x:v>수량·단가·평가 관련</x:v>
      </x:c>
    </x:row>
    <x:row r="15" ht="27" customHeight="1">
      <x:c r="A15" s="24" t="str">
        <x:v>PBC-011</x:v>
      </x:c>
      <x:c r="B15" s="24" t="str">
        <x:v>인사</x:v>
      </x:c>
      <x:c r="C15" s="34" t="str">
        <x:v>급여대장·4대보험 내역</x:v>
      </x:c>
      <x:c r="D15" s="24" t="str">
        <x:v>2025년 전체</x:v>
      </x:c>
      <x:c r="E15" s="24" t="str">
        <x:v>Excel/PDF</x:v>
      </x:c>
      <x:c r="F15" s="24" t="str">
        <x:v>인사팀</x:v>
      </x:c>
      <x:c r="G15" s="24" t="str">
        <x:v>2026-02-12</x:v>
      </x:c>
      <x:c r="H15" s="24" t="str">
        <x:v>요청중</x:v>
      </x:c>
      <x:c r="I15" s="24" t="str">
        <x:v>—</x:v>
      </x:c>
      <x:c r="J15" s="24" t="str">
        <x:v>미검토</x:v>
      </x:c>
      <x:c r="K15" s="34" t="str">
        <x:v>요약 명세와 원장 대사</x:v>
      </x:c>
    </x:row>
    <x:row r="16" ht="27" customHeight="1">
      <x:c r="A16" s="26" t="str">
        <x:v>PBC-012</x:v>
      </x:c>
      <x:c r="B16" s="26" t="str">
        <x:v>공통</x:v>
      </x:c>
      <x:c r="C16" s="35" t="str">
        <x:v>주요 계약서 및 의사록</x:v>
      </x:c>
      <x:c r="D16" s="26" t="str">
        <x:v>2025년 전체</x:v>
      </x:c>
      <x:c r="E16" s="26" t="str">
        <x:v>PDF</x:v>
      </x:c>
      <x:c r="F16" s="26" t="str">
        <x:v>경영지원팀</x:v>
      </x:c>
      <x:c r="G16" s="26" t="str">
        <x:v>2026-02-12</x:v>
      </x:c>
      <x:c r="H16" s="26" t="str">
        <x:v>요청중</x:v>
      </x:c>
      <x:c r="I16" s="26" t="str">
        <x:v>—</x:v>
      </x:c>
      <x:c r="J16" s="26" t="str">
        <x:v>미검토</x:v>
      </x:c>
      <x:c r="K16" s="35" t="str">
        <x:v>중요 거래·약정 파악</x:v>
      </x:c>
    </x:row>
    <x:row r="17" ht="27" customHeight="1">
      <x:c r="A17" s="24" t="str">
        <x:v>PBC-013</x:v>
      </x:c>
      <x:c r="B17" s="24" t="str">
        <x:v>세무</x:v>
      </x:c>
      <x:c r="C17" s="34" t="str">
        <x:v>부가가치세 신고서</x:v>
      </x:c>
      <x:c r="D17" s="24" t="str">
        <x:v>2025년 전체</x:v>
      </x:c>
      <x:c r="E17" s="24" t="str">
        <x:v>PDF</x:v>
      </x:c>
      <x:c r="F17" s="24" t="str">
        <x:v>세무팀</x:v>
      </x:c>
      <x:c r="G17" s="24" t="str">
        <x:v>2026-02-12</x:v>
      </x:c>
      <x:c r="H17" s="24" t="str">
        <x:v>요청중</x:v>
      </x:c>
      <x:c r="I17" s="24" t="str">
        <x:v>—</x:v>
      </x:c>
      <x:c r="J17" s="24" t="str">
        <x:v>미검토</x:v>
      </x:c>
      <x:c r="K17" s="34" t="str">
        <x:v>장부·신고 차이 확인</x:v>
      </x:c>
    </x:row>
    <x:row r="18" ht="27" customHeight="1">
      <x:c r="A18" s="26" t="str">
        <x:v>PBC-014</x:v>
      </x:c>
      <x:c r="B18" s="26" t="str">
        <x:v>공통</x:v>
      </x:c>
      <x:c r="C18" s="35" t="str">
        <x:v>감사 전 재무제표</x:v>
      </x:c>
      <x:c r="D18" s="26" t="str">
        <x:v>2025-12-31</x:v>
      </x:c>
      <x:c r="E18" s="26" t="str">
        <x:v>Word/PDF</x:v>
      </x:c>
      <x:c r="F18" s="26" t="str">
        <x:v>재무팀</x:v>
      </x:c>
      <x:c r="G18" s="26" t="str">
        <x:v>2026-02-12</x:v>
      </x:c>
      <x:c r="H18" s="26" t="str">
        <x:v>요청중</x:v>
      </x:c>
      <x:c r="I18" s="26" t="str">
        <x:v>—</x:v>
      </x:c>
      <x:c r="J18" s="26" t="str">
        <x:v>미검토</x:v>
      </x:c>
      <x:c r="K18" s="35" t="str">
        <x:v>회사 자체 작성 재무제표</x:v>
      </x:c>
    </x:row>
    <x:row r="19" ht="27" customHeight="1">
      <x:c r="A19" s="24" t="str">
        <x:v>PBC-015</x:v>
      </x:c>
      <x:c r="B19" s="24" t="str">
        <x:v>매출채권</x:v>
      </x:c>
      <x:c r="C19" s="34" t="str">
        <x:v>표본 세금계산서·납품확인서</x:v>
      </x:c>
      <x:c r="D19" s="24" t="str">
        <x:v>2025년 전체</x:v>
      </x:c>
      <x:c r="E19" s="24" t="str">
        <x:v>PDF/XML</x:v>
      </x:c>
      <x:c r="F19" s="24" t="str">
        <x:v>영업관리팀</x:v>
      </x:c>
      <x:c r="G19" s="24" t="str">
        <x:v>2026-02-13</x:v>
      </x:c>
      <x:c r="H19" s="24" t="str">
        <x:v>제출완료</x:v>
      </x:c>
      <x:c r="I19" s="24" t="str">
        <x:v>TAX_Sample.zip</x:v>
      </x:c>
      <x:c r="J19" s="24" t="str">
        <x:v>검토중</x:v>
      </x:c>
      <x:c r="K19" s="34" t="str">
        <x:v>샘플용 실제 원문 파일은 미포함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6" hidden="0" customWidth="1"/>
  </x:cols>
  <x:sheetData>
    <x:row r="1" ht="35" customHeight="1">
      <x:c r="A1" s="4" t="str">
        <x:v>TB | 합계잔액시산표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0" t="str">
        <x:v>전표별 GL 데이터를 계정과목별로 집계한 기말 잔액 · 모든 보조명세의 합계를 TB와 대조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17" t="str">
        <x:v>계정코드</x:v>
      </x:c>
      <x:c r="B4" s="17" t="str">
        <x:v>계정과목</x:v>
      </x:c>
      <x:c r="C4" s="17" t="str">
        <x:v>계정분류</x:v>
      </x:c>
      <x:c r="D4" s="17" t="str">
        <x:v>기초 차변</x:v>
      </x:c>
      <x:c r="E4" s="17" t="str">
        <x:v>기초 대변</x:v>
      </x:c>
      <x:c r="F4" s="17" t="str">
        <x:v>당기 차변</x:v>
      </x:c>
      <x:c r="G4" s="17" t="str">
        <x:v>당기 대변</x:v>
      </x:c>
      <x:c r="H4" s="17" t="str">
        <x:v>기말 차변</x:v>
      </x:c>
      <x:c r="I4" s="17" t="str">
        <x:v>기말 대변</x:v>
      </x:c>
      <x:c r="J4" s="17" t="str">
        <x:v>검증 메모</x:v>
      </x:c>
    </x:row>
    <x:row r="5" ht="23" customHeight="1">
      <x:c r="A5" s="24" t="str">
        <x:v>1010</x:v>
      </x:c>
      <x:c r="B5" s="24" t="str">
        <x:v>보통예금</x:v>
      </x:c>
      <x:c r="C5" s="24" t="str">
        <x:v>자산</x:v>
      </x:c>
      <x:c r="D5" s="42" t="n">
        <x:v>0</x:v>
      </x:c>
      <x:c r="E5" s="42" t="n">
        <x:v>0</x:v>
      </x:c>
      <x:c r="F5" s="42" t="n">
        <x:f>SUMIF('04_총계정원장'!$E$5:$E$69,A5,'04_총계정원장'!$G$5:$G$69)</x:f>
        <x:v>608000000</x:v>
      </x:c>
      <x:c r="G5" s="42" t="n">
        <x:f>SUMIF('04_총계정원장'!$E$5:$E$69,A5,'04_총계정원장'!$H$5:$H$69)</x:f>
        <x:v>296500000</x:v>
      </x:c>
      <x:c r="H5" s="42" t="n">
        <x:f>MAX(D5+F5-E5-G5,0)</x:f>
        <x:v>311500000</x:v>
      </x:c>
      <x:c r="I5" s="42" t="n">
        <x:f>MAX(E5+G5-D5-F5,0)</x:f>
        <x:v>0</x:v>
      </x:c>
      <x:c r="J5" s="24" t="str">
        <x:v>GL 합계 기준 자동 계산</x:v>
      </x:c>
    </x:row>
    <x:row r="6" ht="23" customHeight="1">
      <x:c r="A6" s="26" t="str">
        <x:v>1080</x:v>
      </x:c>
      <x:c r="B6" s="26" t="str">
        <x:v>매출채권</x:v>
      </x:c>
      <x:c r="C6" s="26" t="str">
        <x:v>자산</x:v>
      </x:c>
      <x:c r="D6" s="43" t="n">
        <x:v>0</x:v>
      </x:c>
      <x:c r="E6" s="43" t="n">
        <x:v>0</x:v>
      </x:c>
      <x:c r="F6" s="43" t="n">
        <x:f>SUMIF('04_총계정원장'!$E$5:$E$69,A6,'04_총계정원장'!$G$5:$G$69)</x:f>
        <x:v>415800000</x:v>
      </x:c>
      <x:c r="G6" s="43" t="n">
        <x:f>SUMIF('04_총계정원장'!$E$5:$E$69,A6,'04_총계정원장'!$H$5:$H$69)</x:f>
        <x:v>108000000</x:v>
      </x:c>
      <x:c r="H6" s="43" t="n">
        <x:f>MAX(D6+F6-E6-G6,0)</x:f>
        <x:v>307800000</x:v>
      </x:c>
      <x:c r="I6" s="43" t="n">
        <x:f>MAX(E6+G6-D6-F6,0)</x:f>
        <x:v>0</x:v>
      </x:c>
      <x:c r="J6" s="26" t="str">
        <x:v>GL 합계 기준 자동 계산</x:v>
      </x:c>
    </x:row>
    <x:row r="7" ht="23" customHeight="1">
      <x:c r="A7" s="24" t="str">
        <x:v>1095</x:v>
      </x:c>
      <x:c r="B7" s="24" t="str">
        <x:v>부가세대급금</x:v>
      </x:c>
      <x:c r="C7" s="24" t="str">
        <x:v>자산</x:v>
      </x:c>
      <x:c r="D7" s="42" t="n">
        <x:v>0</x:v>
      </x:c>
      <x:c r="E7" s="42" t="n">
        <x:v>0</x:v>
      </x:c>
      <x:c r="F7" s="42" t="n">
        <x:f>SUMIF('04_총계정원장'!$E$5:$E$69,A7,'04_총계정원장'!$G$5:$G$69)</x:f>
        <x:v>30500000</x:v>
      </x:c>
      <x:c r="G7" s="42" t="n">
        <x:f>SUMIF('04_총계정원장'!$E$5:$E$69,A7,'04_총계정원장'!$H$5:$H$69)</x:f>
        <x:v>0</x:v>
      </x:c>
      <x:c r="H7" s="42" t="n">
        <x:f>MAX(D7+F7-E7-G7,0)</x:f>
        <x:v>30500000</x:v>
      </x:c>
      <x:c r="I7" s="42" t="n">
        <x:f>MAX(E7+G7-D7-F7,0)</x:f>
        <x:v>0</x:v>
      </x:c>
      <x:c r="J7" s="24" t="str">
        <x:v>GL 합계 기준 자동 계산</x:v>
      </x:c>
    </x:row>
    <x:row r="8" ht="23" customHeight="1">
      <x:c r="A8" s="26" t="str">
        <x:v>1200</x:v>
      </x:c>
      <x:c r="B8" s="26" t="str">
        <x:v>제품재고</x:v>
      </x:c>
      <x:c r="C8" s="26" t="str">
        <x:v>자산</x:v>
      </x:c>
      <x:c r="D8" s="43" t="n">
        <x:v>0</x:v>
      </x:c>
      <x:c r="E8" s="43" t="n">
        <x:v>0</x:v>
      </x:c>
      <x:c r="F8" s="43" t="n">
        <x:f>SUMIF('04_총계정원장'!$E$5:$E$69,A8,'04_총계정원장'!$G$5:$G$69)</x:f>
        <x:v>180000000</x:v>
      </x:c>
      <x:c r="G8" s="43" t="n">
        <x:f>SUMIF('04_총계정원장'!$E$5:$E$69,A8,'04_총계정원장'!$H$5:$H$69)</x:f>
        <x:v>118000000</x:v>
      </x:c>
      <x:c r="H8" s="43" t="n">
        <x:f>MAX(D8+F8-E8-G8,0)</x:f>
        <x:v>62000000</x:v>
      </x:c>
      <x:c r="I8" s="43" t="n">
        <x:f>MAX(E8+G8-D8-F8,0)</x:f>
        <x:v>0</x:v>
      </x:c>
      <x:c r="J8" s="26" t="str">
        <x:v>GL 합계 기준 자동 계산</x:v>
      </x:c>
    </x:row>
    <x:row r="9" ht="23" customHeight="1">
      <x:c r="A9" s="24" t="str">
        <x:v>1500</x:v>
      </x:c>
      <x:c r="B9" s="24" t="str">
        <x:v>기계장치</x:v>
      </x:c>
      <x:c r="C9" s="24" t="str">
        <x:v>자산</x:v>
      </x:c>
      <x:c r="D9" s="42" t="n">
        <x:v>0</x:v>
      </x:c>
      <x:c r="E9" s="42" t="n">
        <x:v>0</x:v>
      </x:c>
      <x:c r="F9" s="42" t="n">
        <x:f>SUMIF('04_총계정원장'!$E$5:$E$69,A9,'04_총계정원장'!$G$5:$G$69)</x:f>
        <x:v>125000000</x:v>
      </x:c>
      <x:c r="G9" s="42" t="n">
        <x:f>SUMIF('04_총계정원장'!$E$5:$E$69,A9,'04_총계정원장'!$H$5:$H$69)</x:f>
        <x:v>0</x:v>
      </x:c>
      <x:c r="H9" s="42" t="n">
        <x:f>MAX(D9+F9-E9-G9,0)</x:f>
        <x:v>125000000</x:v>
      </x:c>
      <x:c r="I9" s="42" t="n">
        <x:f>MAX(E9+G9-D9-F9,0)</x:f>
        <x:v>0</x:v>
      </x:c>
      <x:c r="J9" s="24" t="str">
        <x:v>GL 합계 기준 자동 계산</x:v>
      </x:c>
    </x:row>
    <x:row r="10" ht="23" customHeight="1">
      <x:c r="A10" s="26" t="str">
        <x:v>1590</x:v>
      </x:c>
      <x:c r="B10" s="26" t="str">
        <x:v>감가상각누계액</x:v>
      </x:c>
      <x:c r="C10" s="26" t="str">
        <x:v>자산차감</x:v>
      </x:c>
      <x:c r="D10" s="43" t="n">
        <x:v>0</x:v>
      </x:c>
      <x:c r="E10" s="43" t="n">
        <x:v>0</x:v>
      </x:c>
      <x:c r="F10" s="43" t="n">
        <x:f>SUMIF('04_총계정원장'!$E$5:$E$69,A10,'04_총계정원장'!$G$5:$G$69)</x:f>
        <x:v>0</x:v>
      </x:c>
      <x:c r="G10" s="43" t="n">
        <x:f>SUMIF('04_총계정원장'!$E$5:$E$69,A10,'04_총계정원장'!$H$5:$H$69)</x:f>
        <x:v>7500000</x:v>
      </x:c>
      <x:c r="H10" s="43" t="n">
        <x:f>MAX(D10+F10-E10-G10,0)</x:f>
        <x:v>0</x:v>
      </x:c>
      <x:c r="I10" s="43" t="n">
        <x:f>MAX(E10+G10-D10-F10,0)</x:f>
        <x:v>7500000</x:v>
      </x:c>
      <x:c r="J10" s="26" t="str">
        <x:v>GL 합계 기준 자동 계산</x:v>
      </x:c>
    </x:row>
    <x:row r="11" ht="23" customHeight="1">
      <x:c r="A11" s="24" t="str">
        <x:v>2010</x:v>
      </x:c>
      <x:c r="B11" s="24" t="str">
        <x:v>매입채무</x:v>
      </x:c>
      <x:c r="C11" s="24" t="str">
        <x:v>부채</x:v>
      </x:c>
      <x:c r="D11" s="42" t="n">
        <x:v>0</x:v>
      </x:c>
      <x:c r="E11" s="42" t="n">
        <x:v>0</x:v>
      </x:c>
      <x:c r="F11" s="42" t="n">
        <x:f>SUMIF('04_총계정원장'!$E$5:$E$69,A11,'04_총계정원장'!$G$5:$G$69)</x:f>
        <x:v>100000000</x:v>
      </x:c>
      <x:c r="G11" s="42" t="n">
        <x:f>SUMIF('04_총계정원장'!$E$5:$E$69,A11,'04_총계정원장'!$H$5:$H$69)</x:f>
        <x:v>198000000</x:v>
      </x:c>
      <x:c r="H11" s="42" t="n">
        <x:f>MAX(D11+F11-E11-G11,0)</x:f>
        <x:v>0</x:v>
      </x:c>
      <x:c r="I11" s="42" t="n">
        <x:f>MAX(E11+G11-D11-F11,0)</x:f>
        <x:v>98000000</x:v>
      </x:c>
      <x:c r="J11" s="24" t="str">
        <x:v>GL 합계 기준 자동 계산</x:v>
      </x:c>
    </x:row>
    <x:row r="12" ht="23" customHeight="1">
      <x:c r="A12" s="26" t="str">
        <x:v>2050</x:v>
      </x:c>
      <x:c r="B12" s="26" t="str">
        <x:v>부가세예수금</x:v>
      </x:c>
      <x:c r="C12" s="26" t="str">
        <x:v>부채</x:v>
      </x:c>
      <x:c r="D12" s="43" t="n">
        <x:v>0</x:v>
      </x:c>
      <x:c r="E12" s="43" t="n">
        <x:v>0</x:v>
      </x:c>
      <x:c r="F12" s="43" t="n">
        <x:f>SUMIF('04_총계정원장'!$E$5:$E$69,A12,'04_총계정원장'!$G$5:$G$69)</x:f>
        <x:v>0</x:v>
      </x:c>
      <x:c r="G12" s="43" t="n">
        <x:f>SUMIF('04_총계정원장'!$E$5:$E$69,A12,'04_총계정원장'!$H$5:$H$69)</x:f>
        <x:v>37800000</x:v>
      </x:c>
      <x:c r="H12" s="43" t="n">
        <x:f>MAX(D12+F12-E12-G12,0)</x:f>
        <x:v>0</x:v>
      </x:c>
      <x:c r="I12" s="43" t="n">
        <x:f>MAX(E12+G12-D12-F12,0)</x:f>
        <x:v>37800000</x:v>
      </x:c>
      <x:c r="J12" s="26" t="str">
        <x:v>GL 합계 기준 자동 계산</x:v>
      </x:c>
    </x:row>
    <x:row r="13" ht="23" customHeight="1">
      <x:c r="A13" s="24" t="str">
        <x:v>3010</x:v>
      </x:c>
      <x:c r="B13" s="24" t="str">
        <x:v>자본금</x:v>
      </x:c>
      <x:c r="C13" s="24" t="str">
        <x:v>자본</x:v>
      </x:c>
      <x:c r="D13" s="42" t="n">
        <x:v>0</x:v>
      </x:c>
      <x:c r="E13" s="42" t="n">
        <x:v>0</x:v>
      </x:c>
      <x:c r="F13" s="42" t="n">
        <x:f>SUMIF('04_총계정원장'!$E$5:$E$69,A13,'04_총계정원장'!$G$5:$G$69)</x:f>
        <x:v>0</x:v>
      </x:c>
      <x:c r="G13" s="42" t="n">
        <x:f>SUMIF('04_총계정원장'!$E$5:$E$69,A13,'04_총계정원장'!$H$5:$H$69)</x:f>
        <x:v>500000000</x:v>
      </x:c>
      <x:c r="H13" s="42" t="n">
        <x:f>MAX(D13+F13-E13-G13,0)</x:f>
        <x:v>0</x:v>
      </x:c>
      <x:c r="I13" s="42" t="n">
        <x:f>MAX(E13+G13-D13-F13,0)</x:f>
        <x:v>500000000</x:v>
      </x:c>
      <x:c r="J13" s="24" t="str">
        <x:v>GL 합계 기준 자동 계산</x:v>
      </x:c>
    </x:row>
    <x:row r="14" ht="23" customHeight="1">
      <x:c r="A14" s="26" t="str">
        <x:v>4010</x:v>
      </x:c>
      <x:c r="B14" s="26" t="str">
        <x:v>제품매출</x:v>
      </x:c>
      <x:c r="C14" s="26" t="str">
        <x:v>수익</x:v>
      </x:c>
      <x:c r="D14" s="43" t="n">
        <x:v>0</x:v>
      </x:c>
      <x:c r="E14" s="43" t="n">
        <x:v>0</x:v>
      </x:c>
      <x:c r="F14" s="43" t="n">
        <x:f>SUMIF('04_총계정원장'!$E$5:$E$69,A14,'04_총계정원장'!$G$5:$G$69)</x:f>
        <x:v>0</x:v>
      </x:c>
      <x:c r="G14" s="43" t="n">
        <x:f>SUMIF('04_총계정원장'!$E$5:$E$69,A14,'04_총계정원장'!$H$5:$H$69)</x:f>
        <x:v>378000000</x:v>
      </x:c>
      <x:c r="H14" s="43" t="n">
        <x:f>MAX(D14+F14-E14-G14,0)</x:f>
        <x:v>0</x:v>
      </x:c>
      <x:c r="I14" s="43" t="n">
        <x:f>MAX(E14+G14-D14-F14,0)</x:f>
        <x:v>378000000</x:v>
      </x:c>
      <x:c r="J14" s="26" t="str">
        <x:v>GL 합계 기준 자동 계산</x:v>
      </x:c>
    </x:row>
    <x:row r="15" ht="23" customHeight="1">
      <x:c r="A15" s="24" t="str">
        <x:v>5010</x:v>
      </x:c>
      <x:c r="B15" s="24" t="str">
        <x:v>매출원가</x:v>
      </x:c>
      <x:c r="C15" s="24" t="str">
        <x:v>비용</x:v>
      </x:c>
      <x:c r="D15" s="42" t="n">
        <x:v>0</x:v>
      </x:c>
      <x:c r="E15" s="42" t="n">
        <x:v>0</x:v>
      </x:c>
      <x:c r="F15" s="42" t="n">
        <x:f>SUMIF('04_총계정원장'!$E$5:$E$69,A15,'04_총계정원장'!$G$5:$G$69)</x:f>
        <x:v>118000000</x:v>
      </x:c>
      <x:c r="G15" s="42" t="n">
        <x:f>SUMIF('04_총계정원장'!$E$5:$E$69,A15,'04_총계정원장'!$H$5:$H$69)</x:f>
        <x:v>0</x:v>
      </x:c>
      <x:c r="H15" s="42" t="n">
        <x:f>MAX(D15+F15-E15-G15,0)</x:f>
        <x:v>118000000</x:v>
      </x:c>
      <x:c r="I15" s="42" t="n">
        <x:f>MAX(E15+G15-D15-F15,0)</x:f>
        <x:v>0</x:v>
      </x:c>
      <x:c r="J15" s="24" t="str">
        <x:v>GL 합계 기준 자동 계산</x:v>
      </x:c>
    </x:row>
    <x:row r="16" ht="23" customHeight="1">
      <x:c r="A16" s="26" t="str">
        <x:v>6010</x:v>
      </x:c>
      <x:c r="B16" s="26" t="str">
        <x:v>급여</x:v>
      </x:c>
      <x:c r="C16" s="26" t="str">
        <x:v>비용</x:v>
      </x:c>
      <x:c r="D16" s="43" t="n">
        <x:v>0</x:v>
      </x:c>
      <x:c r="E16" s="43" t="n">
        <x:v>0</x:v>
      </x:c>
      <x:c r="F16" s="43" t="n">
        <x:f>SUMIF('04_총계정원장'!$E$5:$E$69,A16,'04_총계정원장'!$G$5:$G$69)</x:f>
        <x:v>32000000</x:v>
      </x:c>
      <x:c r="G16" s="43" t="n">
        <x:f>SUMIF('04_총계정원장'!$E$5:$E$69,A16,'04_총계정원장'!$H$5:$H$69)</x:f>
        <x:v>0</x:v>
      </x:c>
      <x:c r="H16" s="43" t="n">
        <x:f>MAX(D16+F16-E16-G16,0)</x:f>
        <x:v>32000000</x:v>
      </x:c>
      <x:c r="I16" s="43" t="n">
        <x:f>MAX(E16+G16-D16-F16,0)</x:f>
        <x:v>0</x:v>
      </x:c>
      <x:c r="J16" s="26" t="str">
        <x:v>GL 합계 기준 자동 계산</x:v>
      </x:c>
    </x:row>
    <x:row r="17" ht="23" customHeight="1">
      <x:c r="A17" s="24" t="str">
        <x:v>6020</x:v>
      </x:c>
      <x:c r="B17" s="24" t="str">
        <x:v>지급임차료</x:v>
      </x:c>
      <x:c r="C17" s="24" t="str">
        <x:v>비용</x:v>
      </x:c>
      <x:c r="D17" s="42" t="n">
        <x:v>0</x:v>
      </x:c>
      <x:c r="E17" s="42" t="n">
        <x:v>0</x:v>
      </x:c>
      <x:c r="F17" s="42" t="n">
        <x:f>SUMIF('04_총계정원장'!$E$5:$E$69,A17,'04_총계정원장'!$G$5:$G$69)</x:f>
        <x:v>18000000</x:v>
      </x:c>
      <x:c r="G17" s="42" t="n">
        <x:f>SUMIF('04_총계정원장'!$E$5:$E$69,A17,'04_총계정원장'!$H$5:$H$69)</x:f>
        <x:v>0</x:v>
      </x:c>
      <x:c r="H17" s="42" t="n">
        <x:f>MAX(D17+F17-E17-G17,0)</x:f>
        <x:v>18000000</x:v>
      </x:c>
      <x:c r="I17" s="42" t="n">
        <x:f>MAX(E17+G17-D17-F17,0)</x:f>
        <x:v>0</x:v>
      </x:c>
      <x:c r="J17" s="24" t="str">
        <x:v>GL 합계 기준 자동 계산</x:v>
      </x:c>
    </x:row>
    <x:row r="18" ht="23" customHeight="1">
      <x:c r="A18" s="26" t="str">
        <x:v>6030</x:v>
      </x:c>
      <x:c r="B18" s="26" t="str">
        <x:v>감가상각비</x:v>
      </x:c>
      <x:c r="C18" s="26" t="str">
        <x:v>비용</x:v>
      </x:c>
      <x:c r="D18" s="43" t="n">
        <x:v>0</x:v>
      </x:c>
      <x:c r="E18" s="43" t="n">
        <x:v>0</x:v>
      </x:c>
      <x:c r="F18" s="43" t="n">
        <x:f>SUMIF('04_총계정원장'!$E$5:$E$69,A18,'04_총계정원장'!$G$5:$G$69)</x:f>
        <x:v>7500000</x:v>
      </x:c>
      <x:c r="G18" s="43" t="n">
        <x:f>SUMIF('04_총계정원장'!$E$5:$E$69,A18,'04_총계정원장'!$H$5:$H$69)</x:f>
        <x:v>0</x:v>
      </x:c>
      <x:c r="H18" s="43" t="n">
        <x:f>MAX(D18+F18-E18-G18,0)</x:f>
        <x:v>7500000</x:v>
      </x:c>
      <x:c r="I18" s="43" t="n">
        <x:f>MAX(E18+G18-D18-F18,0)</x:f>
        <x:v>0</x:v>
      </x:c>
      <x:c r="J18" s="26" t="str">
        <x:v>GL 합계 기준 자동 계산</x:v>
      </x:c>
    </x:row>
    <x:row r="19" ht="23" customHeight="1">
      <x:c r="A19" s="24" t="str">
        <x:v>6040</x:v>
      </x:c>
      <x:c r="B19" s="24" t="str">
        <x:v>수도광열비</x:v>
      </x:c>
      <x:c r="C19" s="24" t="str">
        <x:v>비용</x:v>
      </x:c>
      <x:c r="D19" s="42" t="n">
        <x:v>0</x:v>
      </x:c>
      <x:c r="E19" s="42" t="n">
        <x:v>0</x:v>
      </x:c>
      <x:c r="F19" s="42" t="n">
        <x:f>SUMIF('04_총계정원장'!$E$5:$E$69,A19,'04_총계정원장'!$G$5:$G$69)</x:f>
        <x:v>9000000</x:v>
      </x:c>
      <x:c r="G19" s="42" t="n">
        <x:f>SUMIF('04_총계정원장'!$E$5:$E$69,A19,'04_총계정원장'!$H$5:$H$69)</x:f>
        <x:v>0</x:v>
      </x:c>
      <x:c r="H19" s="42" t="n">
        <x:f>MAX(D19+F19-E19-G19,0)</x:f>
        <x:v>9000000</x:v>
      </x:c>
      <x:c r="I19" s="42" t="n">
        <x:f>MAX(E19+G19-D19-F19,0)</x:f>
        <x:v>0</x:v>
      </x:c>
      <x:c r="J19" s="24" t="str">
        <x:v>GL 합계 기준 자동 계산</x:v>
      </x:c>
    </x:row>
    <x:row r="20" ht="29" customHeight="1">
      <x:c r="A20" s="47" t="str">
        <x:v>시산표 합계</x:v>
      </x:c>
      <x:c r="B20" s="47"/>
      <x:c r="C20" s="47"/>
      <x:c r="D20" s="50" t="n">
        <x:f>SUM(D5:D19)</x:f>
        <x:v>0</x:v>
      </x:c>
      <x:c r="E20" s="50" t="n">
        <x:f>SUM(E5:E19)</x:f>
        <x:v>0</x:v>
      </x:c>
      <x:c r="F20" s="50" t="n">
        <x:f>SUM(F5:F19)</x:f>
        <x:v>1643800000</x:v>
      </x:c>
      <x:c r="G20" s="50" t="n">
        <x:f>SUM(G5:G19)</x:f>
        <x:v>1643800000</x:v>
      </x:c>
      <x:c r="H20" s="50" t="n">
        <x:f>SUM(H5:H19)</x:f>
        <x:v>1021300000</x:v>
      </x:c>
      <x:c r="I20" s="50" t="n">
        <x:f>SUM(I5:I19)</x:f>
        <x:v>1021300000</x:v>
      </x:c>
      <x:c r="J20" s="47"/>
    </x:row>
    <x:row r="22">
      <x:c r="A22" t="str">
        <x:v>기말 차대 차이</x:v>
      </x:c>
      <x:c r="H22" s="52" t="n">
        <x:f>H20-I20</x:f>
        <x:v>0</x:v>
      </x:c>
      <x:c r="I22" t="str">
        <x:v>0이면 차대 일치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12" hidden="0" customWidth="1"/>
    <x:col min="4" max="4" width="30" hidden="0" customWidth="1"/>
    <x:col min="5" max="5" width="16" hidden="0" customWidth="1"/>
    <x:col min="6" max="6" width="21" hidden="0" customWidth="1"/>
    <x:col min="7" max="7" width="21" hidden="0" customWidth="1"/>
    <x:col min="8" max="8" width="21" hidden="0" customWidth="1"/>
    <x:col min="9" max="9" width="23" hidden="0" customWidth="1"/>
    <x:col min="10" max="10" width="34" hidden="0" customWidth="1"/>
  </x:cols>
  <x:sheetData>
    <x:row r="1" ht="35" customHeight="1">
      <x:c r="A1" s="4" t="str">
        <x:v>GL | 총계정원장 / 거래별 분개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0" t="str">
        <x:v>ERP 추출 데이터에 가까운 행 구조 · 전표 한 개가 여러 행(차변/대변)으로 구성 · 회사 제공 파일 예시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17" t="str">
        <x:v>거래일</x:v>
      </x:c>
      <x:c r="B4" s="17" t="str">
        <x:v>전표번호</x:v>
      </x:c>
      <x:c r="C4" s="17" t="str">
        <x:v>행번호</x:v>
      </x:c>
      <x:c r="D4" s="17" t="str">
        <x:v>적요</x:v>
      </x:c>
      <x:c r="E4" s="17" t="str">
        <x:v>계정코드</x:v>
      </x:c>
      <x:c r="F4" s="17" t="str">
        <x:v>계정명</x:v>
      </x:c>
      <x:c r="G4" s="17" t="str">
        <x:v>차변(원)</x:v>
      </x:c>
      <x:c r="H4" s="17" t="str">
        <x:v>대변(원)</x:v>
      </x:c>
      <x:c r="I4" s="17" t="str">
        <x:v>참조 문서번호</x:v>
      </x:c>
      <x:c r="J4" s="17" t="str">
        <x:v>원본 증빙 파일</x:v>
      </x:c>
    </x:row>
    <x:row r="5" ht="21" customHeight="1">
      <x:c r="A5" s="38" t="n">
        <x:v>45659</x:v>
      </x:c>
      <x:c r="B5" s="24" t="str">
        <x:v>JE-0001</x:v>
      </x:c>
      <x:c r="C5" s="24" t="n">
        <x:v>1</x:v>
      </x:c>
      <x:c r="D5" s="24" t="str">
        <x:v>보통주 유상납입</x:v>
      </x:c>
      <x:c r="E5" s="24" t="str">
        <x:v>1010</x:v>
      </x:c>
      <x:c r="F5" s="24" t="str">
        <x:v>보통예금</x:v>
      </x:c>
      <x:c r="G5" s="42" t="n">
        <x:v>500000000</x:v>
      </x:c>
      <x:c r="H5" s="42" t="n">
        <x:v>0</x:v>
      </x:c>
      <x:c r="I5" s="24" t="str"/>
      <x:c r="J5" s="24" t="str">
        <x:v>납입증명.pdf</x:v>
      </x:c>
    </x:row>
    <x:row r="6" ht="21" customHeight="1">
      <x:c r="A6" s="39" t="n">
        <x:v>45659</x:v>
      </x:c>
      <x:c r="B6" s="26" t="str">
        <x:v>JE-0001</x:v>
      </x:c>
      <x:c r="C6" s="26" t="n">
        <x:v>2</x:v>
      </x:c>
      <x:c r="D6" s="26" t="str">
        <x:v>보통주 유상납입</x:v>
      </x:c>
      <x:c r="E6" s="26" t="str">
        <x:v>3010</x:v>
      </x:c>
      <x:c r="F6" s="26" t="str">
        <x:v>자본금</x:v>
      </x:c>
      <x:c r="G6" s="43" t="n">
        <x:v>0</x:v>
      </x:c>
      <x:c r="H6" s="43" t="n">
        <x:v>500000000</x:v>
      </x:c>
      <x:c r="I6" s="26" t="str"/>
      <x:c r="J6" s="26" t="str">
        <x:v>납입증명.pdf</x:v>
      </x:c>
    </x:row>
    <x:row r="7" ht="21" customHeight="1">
      <x:c r="A7" s="38" t="n">
        <x:v>45698</x:v>
      </x:c>
      <x:c r="B7" s="24" t="str">
        <x:v>JE-0002</x:v>
      </x:c>
      <x:c r="C7" s="24" t="n">
        <x:v>1</x:v>
      </x:c>
      <x:c r="D7" s="24" t="str">
        <x:v>생산설비 취득</x:v>
      </x:c>
      <x:c r="E7" s="24" t="str">
        <x:v>1500</x:v>
      </x:c>
      <x:c r="F7" s="24" t="str">
        <x:v>기계장치</x:v>
      </x:c>
      <x:c r="G7" s="42" t="n">
        <x:v>90000000</x:v>
      </x:c>
      <x:c r="H7" s="42" t="n">
        <x:v>0</x:v>
      </x:c>
      <x:c r="I7" s="24" t="str"/>
      <x:c r="J7" s="24" t="str">
        <x:v>기계설비_매입세금계산서.pdf</x:v>
      </x:c>
    </x:row>
    <x:row r="8" ht="21" customHeight="1">
      <x:c r="A8" s="39" t="n">
        <x:v>45698</x:v>
      </x:c>
      <x:c r="B8" s="26" t="str">
        <x:v>JE-0002</x:v>
      </x:c>
      <x:c r="C8" s="26" t="n">
        <x:v>2</x:v>
      </x:c>
      <x:c r="D8" s="26" t="str">
        <x:v>생산설비 취득</x:v>
      </x:c>
      <x:c r="E8" s="26" t="str">
        <x:v>1095</x:v>
      </x:c>
      <x:c r="F8" s="26" t="str">
        <x:v>부가세대급금</x:v>
      </x:c>
      <x:c r="G8" s="43" t="n">
        <x:v>9000000</x:v>
      </x:c>
      <x:c r="H8" s="43" t="n">
        <x:v>0</x:v>
      </x:c>
      <x:c r="I8" s="26" t="str"/>
      <x:c r="J8" s="26" t="str">
        <x:v>기계설비_매입세금계산서.pdf</x:v>
      </x:c>
    </x:row>
    <x:row r="9" ht="21" customHeight="1">
      <x:c r="A9" s="38" t="n">
        <x:v>45698</x:v>
      </x:c>
      <x:c r="B9" s="24" t="str">
        <x:v>JE-0002</x:v>
      </x:c>
      <x:c r="C9" s="24" t="n">
        <x:v>3</x:v>
      </x:c>
      <x:c r="D9" s="24" t="str">
        <x:v>생산설비 취득</x:v>
      </x:c>
      <x:c r="E9" s="24" t="str">
        <x:v>1010</x:v>
      </x:c>
      <x:c r="F9" s="24" t="str">
        <x:v>보통예금</x:v>
      </x:c>
      <x:c r="G9" s="42" t="n">
        <x:v>0</x:v>
      </x:c>
      <x:c r="H9" s="42" t="n">
        <x:v>99000000</x:v>
      </x:c>
      <x:c r="I9" s="24" t="str"/>
      <x:c r="J9" s="24" t="str">
        <x:v>기계설비_매입세금계산서.pdf</x:v>
      </x:c>
    </x:row>
    <x:row r="10" ht="21" customHeight="1">
      <x:c r="A10" s="39" t="n">
        <x:v>45731</x:v>
      </x:c>
      <x:c r="B10" s="26" t="str">
        <x:v>JE-0003</x:v>
      </x:c>
      <x:c r="C10" s="26" t="n">
        <x:v>1</x:v>
      </x:c>
      <x:c r="D10" s="26" t="str">
        <x:v>생산설비 추가취득</x:v>
      </x:c>
      <x:c r="E10" s="26" t="str">
        <x:v>1500</x:v>
      </x:c>
      <x:c r="F10" s="26" t="str">
        <x:v>기계장치</x:v>
      </x:c>
      <x:c r="G10" s="43" t="n">
        <x:v>35000000</x:v>
      </x:c>
      <x:c r="H10" s="43" t="n">
        <x:v>0</x:v>
      </x:c>
      <x:c r="I10" s="26" t="str"/>
      <x:c r="J10" s="26" t="str">
        <x:v>설비추가_매입세금계산서.pdf</x:v>
      </x:c>
    </x:row>
    <x:row r="11" ht="21" customHeight="1">
      <x:c r="A11" s="38" t="n">
        <x:v>45731</x:v>
      </x:c>
      <x:c r="B11" s="24" t="str">
        <x:v>JE-0003</x:v>
      </x:c>
      <x:c r="C11" s="24" t="n">
        <x:v>2</x:v>
      </x:c>
      <x:c r="D11" s="24" t="str">
        <x:v>생산설비 추가취득</x:v>
      </x:c>
      <x:c r="E11" s="24" t="str">
        <x:v>1095</x:v>
      </x:c>
      <x:c r="F11" s="24" t="str">
        <x:v>부가세대급금</x:v>
      </x:c>
      <x:c r="G11" s="42" t="n">
        <x:v>3500000</x:v>
      </x:c>
      <x:c r="H11" s="42" t="n">
        <x:v>0</x:v>
      </x:c>
      <x:c r="I11" s="24" t="str"/>
      <x:c r="J11" s="24" t="str">
        <x:v>설비추가_매입세금계산서.pdf</x:v>
      </x:c>
    </x:row>
    <x:row r="12" ht="21" customHeight="1">
      <x:c r="A12" s="39" t="n">
        <x:v>45731</x:v>
      </x:c>
      <x:c r="B12" s="26" t="str">
        <x:v>JE-0003</x:v>
      </x:c>
      <x:c r="C12" s="26" t="n">
        <x:v>3</x:v>
      </x:c>
      <x:c r="D12" s="26" t="str">
        <x:v>생산설비 추가취득</x:v>
      </x:c>
      <x:c r="E12" s="26" t="str">
        <x:v>1010</x:v>
      </x:c>
      <x:c r="F12" s="26" t="str">
        <x:v>보통예금</x:v>
      </x:c>
      <x:c r="G12" s="43" t="n">
        <x:v>0</x:v>
      </x:c>
      <x:c r="H12" s="43" t="n">
        <x:v>38500000</x:v>
      </x:c>
      <x:c r="I12" s="26" t="str"/>
      <x:c r="J12" s="26" t="str">
        <x:v>설비추가_매입세금계산서.pdf</x:v>
      </x:c>
    </x:row>
    <x:row r="13" ht="21" customHeight="1">
      <x:c r="A13" s="38" t="n">
        <x:v>45767</x:v>
      </x:c>
      <x:c r="B13" s="24" t="str">
        <x:v>JE-0004</x:v>
      </x:c>
      <x:c r="C13" s="24" t="n">
        <x:v>1</x:v>
      </x:c>
      <x:c r="D13" s="24" t="str">
        <x:v>원재료 및 제품 매입(예시)</x:v>
      </x:c>
      <x:c r="E13" s="24" t="str">
        <x:v>1200</x:v>
      </x:c>
      <x:c r="F13" s="24" t="str">
        <x:v>제품재고</x:v>
      </x:c>
      <x:c r="G13" s="42" t="n">
        <x:v>100000000</x:v>
      </x:c>
      <x:c r="H13" s="42" t="n">
        <x:v>0</x:v>
      </x:c>
      <x:c r="I13" s="24" t="str"/>
      <x:c r="J13" s="24" t="str">
        <x:v>매입세금계산서_01.pdf</x:v>
      </x:c>
    </x:row>
    <x:row r="14" ht="21" customHeight="1">
      <x:c r="A14" s="39" t="n">
        <x:v>45767</x:v>
      </x:c>
      <x:c r="B14" s="26" t="str">
        <x:v>JE-0004</x:v>
      </x:c>
      <x:c r="C14" s="26" t="n">
        <x:v>2</x:v>
      </x:c>
      <x:c r="D14" s="26" t="str">
        <x:v>원재료 및 제품 매입(예시)</x:v>
      </x:c>
      <x:c r="E14" s="26" t="str">
        <x:v>1095</x:v>
      </x:c>
      <x:c r="F14" s="26" t="str">
        <x:v>부가세대급금</x:v>
      </x:c>
      <x:c r="G14" s="43" t="n">
        <x:v>10000000</x:v>
      </x:c>
      <x:c r="H14" s="43" t="n">
        <x:v>0</x:v>
      </x:c>
      <x:c r="I14" s="26" t="str"/>
      <x:c r="J14" s="26" t="str">
        <x:v>매입세금계산서_01.pdf</x:v>
      </x:c>
    </x:row>
    <x:row r="15" ht="21" customHeight="1">
      <x:c r="A15" s="38" t="n">
        <x:v>45767</x:v>
      </x:c>
      <x:c r="B15" s="24" t="str">
        <x:v>JE-0004</x:v>
      </x:c>
      <x:c r="C15" s="24" t="n">
        <x:v>3</x:v>
      </x:c>
      <x:c r="D15" s="24" t="str">
        <x:v>원재료 및 제품 매입(예시)</x:v>
      </x:c>
      <x:c r="E15" s="24" t="str">
        <x:v>2010</x:v>
      </x:c>
      <x:c r="F15" s="24" t="str">
        <x:v>매입채무</x:v>
      </x:c>
      <x:c r="G15" s="42" t="n">
        <x:v>0</x:v>
      </x:c>
      <x:c r="H15" s="42" t="n">
        <x:v>110000000</x:v>
      </x:c>
      <x:c r="I15" s="24" t="str"/>
      <x:c r="J15" s="24" t="str">
        <x:v>매입세금계산서_01.pdf</x:v>
      </x:c>
    </x:row>
    <x:row r="16" ht="21" customHeight="1">
      <x:c r="A16" s="39" t="n">
        <x:v>45823</x:v>
      </x:c>
      <x:c r="B16" s="26" t="str">
        <x:v>JE-0005</x:v>
      </x:c>
      <x:c r="C16" s="26" t="n">
        <x:v>1</x:v>
      </x:c>
      <x:c r="D16" s="26" t="str">
        <x:v>제품 매입(예시)</x:v>
      </x:c>
      <x:c r="E16" s="26" t="str">
        <x:v>1200</x:v>
      </x:c>
      <x:c r="F16" s="26" t="str">
        <x:v>제품재고</x:v>
      </x:c>
      <x:c r="G16" s="43" t="n">
        <x:v>80000000</x:v>
      </x:c>
      <x:c r="H16" s="43" t="n">
        <x:v>0</x:v>
      </x:c>
      <x:c r="I16" s="26" t="str"/>
      <x:c r="J16" s="26" t="str">
        <x:v>매입세금계산서_02.pdf</x:v>
      </x:c>
    </x:row>
    <x:row r="17" ht="21" customHeight="1">
      <x:c r="A17" s="38" t="n">
        <x:v>45823</x:v>
      </x:c>
      <x:c r="B17" s="24" t="str">
        <x:v>JE-0005</x:v>
      </x:c>
      <x:c r="C17" s="24" t="n">
        <x:v>2</x:v>
      </x:c>
      <x:c r="D17" s="24" t="str">
        <x:v>제품 매입(예시)</x:v>
      </x:c>
      <x:c r="E17" s="24" t="str">
        <x:v>1095</x:v>
      </x:c>
      <x:c r="F17" s="24" t="str">
        <x:v>부가세대급금</x:v>
      </x:c>
      <x:c r="G17" s="42" t="n">
        <x:v>8000000</x:v>
      </x:c>
      <x:c r="H17" s="42" t="n">
        <x:v>0</x:v>
      </x:c>
      <x:c r="I17" s="24" t="str"/>
      <x:c r="J17" s="24" t="str">
        <x:v>매입세금계산서_02.pdf</x:v>
      </x:c>
    </x:row>
    <x:row r="18" ht="21" customHeight="1">
      <x:c r="A18" s="39" t="n">
        <x:v>45823</x:v>
      </x:c>
      <x:c r="B18" s="26" t="str">
        <x:v>JE-0005</x:v>
      </x:c>
      <x:c r="C18" s="26" t="n">
        <x:v>3</x:v>
      </x:c>
      <x:c r="D18" s="26" t="str">
        <x:v>제품 매입(예시)</x:v>
      </x:c>
      <x:c r="E18" s="26" t="str">
        <x:v>2010</x:v>
      </x:c>
      <x:c r="F18" s="26" t="str">
        <x:v>매입채무</x:v>
      </x:c>
      <x:c r="G18" s="43" t="n">
        <x:v>0</x:v>
      </x:c>
      <x:c r="H18" s="43" t="n">
        <x:v>88000000</x:v>
      </x:c>
      <x:c r="I18" s="26" t="str"/>
      <x:c r="J18" s="26" t="str">
        <x:v>매입세금계산서_02.pdf</x:v>
      </x:c>
    </x:row>
    <x:row r="19" ht="21" customHeight="1">
      <x:c r="A19" s="38" t="n">
        <x:v>45940</x:v>
      </x:c>
      <x:c r="B19" s="24" t="str">
        <x:v>JE-0006</x:v>
      </x:c>
      <x:c r="C19" s="24" t="n">
        <x:v>1</x:v>
      </x:c>
      <x:c r="D19" s="24" t="str">
        <x:v>외상매입금 지급</x:v>
      </x:c>
      <x:c r="E19" s="24" t="str">
        <x:v>2010</x:v>
      </x:c>
      <x:c r="F19" s="24" t="str">
        <x:v>매입채무</x:v>
      </x:c>
      <x:c r="G19" s="42" t="n">
        <x:v>60000000</x:v>
      </x:c>
      <x:c r="H19" s="42" t="n">
        <x:v>0</x:v>
      </x:c>
      <x:c r="I19" s="24" t="str"/>
      <x:c r="J19" s="24" t="str">
        <x:v>은행이체_거래처매입.pdf</x:v>
      </x:c>
    </x:row>
    <x:row r="20" ht="21" customHeight="1">
      <x:c r="A20" s="39" t="n">
        <x:v>45940</x:v>
      </x:c>
      <x:c r="B20" s="26" t="str">
        <x:v>JE-0006</x:v>
      </x:c>
      <x:c r="C20" s="26" t="n">
        <x:v>2</x:v>
      </x:c>
      <x:c r="D20" s="26" t="str">
        <x:v>외상매입금 지급</x:v>
      </x:c>
      <x:c r="E20" s="26" t="str">
        <x:v>1010</x:v>
      </x:c>
      <x:c r="F20" s="26" t="str">
        <x:v>보통예금</x:v>
      </x:c>
      <x:c r="G20" s="43" t="n">
        <x:v>0</x:v>
      </x:c>
      <x:c r="H20" s="43" t="n">
        <x:v>60000000</x:v>
      </x:c>
      <x:c r="I20" s="26" t="str"/>
      <x:c r="J20" s="26" t="str">
        <x:v>은행이체_거래처매입.pdf</x:v>
      </x:c>
    </x:row>
    <x:row r="21" ht="21" customHeight="1">
      <x:c r="A21" s="38" t="n">
        <x:v>46011</x:v>
      </x:c>
      <x:c r="B21" s="24" t="str">
        <x:v>JE-0007</x:v>
      </x:c>
      <x:c r="C21" s="24" t="n">
        <x:v>1</x:v>
      </x:c>
      <x:c r="D21" s="24" t="str">
        <x:v>외상매입금 추가 지급</x:v>
      </x:c>
      <x:c r="E21" s="24" t="str">
        <x:v>2010</x:v>
      </x:c>
      <x:c r="F21" s="24" t="str">
        <x:v>매입채무</x:v>
      </x:c>
      <x:c r="G21" s="42" t="n">
        <x:v>40000000</x:v>
      </x:c>
      <x:c r="H21" s="42" t="n">
        <x:v>0</x:v>
      </x:c>
      <x:c r="I21" s="24" t="str"/>
      <x:c r="J21" s="24" t="str">
        <x:v>은행이체_거래처매입02.pdf</x:v>
      </x:c>
    </x:row>
    <x:row r="22" ht="21" customHeight="1">
      <x:c r="A22" s="39" t="n">
        <x:v>46011</x:v>
      </x:c>
      <x:c r="B22" s="26" t="str">
        <x:v>JE-0007</x:v>
      </x:c>
      <x:c r="C22" s="26" t="n">
        <x:v>2</x:v>
      </x:c>
      <x:c r="D22" s="26" t="str">
        <x:v>외상매입금 추가 지급</x:v>
      </x:c>
      <x:c r="E22" s="26" t="str">
        <x:v>1010</x:v>
      </x:c>
      <x:c r="F22" s="26" t="str">
        <x:v>보통예금</x:v>
      </x:c>
      <x:c r="G22" s="43" t="n">
        <x:v>0</x:v>
      </x:c>
      <x:c r="H22" s="43" t="n">
        <x:v>40000000</x:v>
      </x:c>
      <x:c r="I22" s="26" t="str"/>
      <x:c r="J22" s="26" t="str">
        <x:v>은행이체_거래처매입02.pdf</x:v>
      </x:c>
    </x:row>
    <x:row r="23" ht="21" customHeight="1">
      <x:c r="A23" s="38" t="n">
        <x:v>45889</x:v>
      </x:c>
      <x:c r="B23" s="24" t="str">
        <x:v>JE-S-250820-01</x:v>
      </x:c>
      <x:c r="C23" s="24" t="n">
        <x:v>1</x:v>
      </x:c>
      <x:c r="D23" s="24" t="str">
        <x:v>제품 외상매출 거래처 A</x:v>
      </x:c>
      <x:c r="E23" s="24" t="str">
        <x:v>1080</x:v>
      </x:c>
      <x:c r="F23" s="24" t="str">
        <x:v>매출채권</x:v>
      </x:c>
      <x:c r="G23" s="42" t="n">
        <x:v>38500000</x:v>
      </x:c>
      <x:c r="H23" s="42" t="n">
        <x:v>0</x:v>
      </x:c>
      <x:c r="I23" s="24" t="str">
        <x:v>S-250820-01</x:v>
      </x:c>
      <x:c r="J23" s="24" t="str">
        <x:v>TAX_S-250820-01.xml</x:v>
      </x:c>
    </x:row>
    <x:row r="24" ht="21" customHeight="1">
      <x:c r="A24" s="39" t="n">
        <x:v>45889</x:v>
      </x:c>
      <x:c r="B24" s="26" t="str">
        <x:v>JE-S-250820-01</x:v>
      </x:c>
      <x:c r="C24" s="26" t="n">
        <x:v>2</x:v>
      </x:c>
      <x:c r="D24" s="26" t="str">
        <x:v>제품 외상매출 거래처 A</x:v>
      </x:c>
      <x:c r="E24" s="26" t="str">
        <x:v>4010</x:v>
      </x:c>
      <x:c r="F24" s="26" t="str">
        <x:v>제품매출</x:v>
      </x:c>
      <x:c r="G24" s="43" t="n">
        <x:v>0</x:v>
      </x:c>
      <x:c r="H24" s="43" t="n">
        <x:v>35000000</x:v>
      </x:c>
      <x:c r="I24" s="26" t="str">
        <x:v>S-250820-01</x:v>
      </x:c>
      <x:c r="J24" s="26" t="str">
        <x:v>TAX_S-250820-01.xml</x:v>
      </x:c>
    </x:row>
    <x:row r="25" ht="21" customHeight="1">
      <x:c r="A25" s="38" t="n">
        <x:v>45889</x:v>
      </x:c>
      <x:c r="B25" s="24" t="str">
        <x:v>JE-S-250820-01</x:v>
      </x:c>
      <x:c r="C25" s="24" t="n">
        <x:v>3</x:v>
      </x:c>
      <x:c r="D25" s="24" t="str">
        <x:v>제품 외상매출 거래처 A</x:v>
      </x:c>
      <x:c r="E25" s="24" t="str">
        <x:v>2050</x:v>
      </x:c>
      <x:c r="F25" s="24" t="str">
        <x:v>부가세예수금</x:v>
      </x:c>
      <x:c r="G25" s="42" t="n">
        <x:v>0</x:v>
      </x:c>
      <x:c r="H25" s="42" t="n">
        <x:v>3500000</x:v>
      </x:c>
      <x:c r="I25" s="24" t="str">
        <x:v>S-250820-01</x:v>
      </x:c>
      <x:c r="J25" s="24" t="str">
        <x:v>TAX_S-250820-01.xml</x:v>
      </x:c>
    </x:row>
    <x:row r="26" ht="21" customHeight="1">
      <x:c r="A26" s="39" t="n">
        <x:v>45915</x:v>
      </x:c>
      <x:c r="B26" s="26" t="str">
        <x:v>JE-S-250915-02</x:v>
      </x:c>
      <x:c r="C26" s="26" t="n">
        <x:v>1</x:v>
      </x:c>
      <x:c r="D26" s="26" t="str">
        <x:v>제품 외상매출 거래처 B</x:v>
      </x:c>
      <x:c r="E26" s="26" t="str">
        <x:v>1080</x:v>
      </x:c>
      <x:c r="F26" s="26" t="str">
        <x:v>매출채권</x:v>
      </x:c>
      <x:c r="G26" s="43" t="n">
        <x:v>52800000</x:v>
      </x:c>
      <x:c r="H26" s="43" t="n">
        <x:v>0</x:v>
      </x:c>
      <x:c r="I26" s="26" t="str">
        <x:v>S-250915-02</x:v>
      </x:c>
      <x:c r="J26" s="26" t="str">
        <x:v>TAX_S-250915-02.xml</x:v>
      </x:c>
    </x:row>
    <x:row r="27" ht="21" customHeight="1">
      <x:c r="A27" s="38" t="n">
        <x:v>45915</x:v>
      </x:c>
      <x:c r="B27" s="24" t="str">
        <x:v>JE-S-250915-02</x:v>
      </x:c>
      <x:c r="C27" s="24" t="n">
        <x:v>2</x:v>
      </x:c>
      <x:c r="D27" s="24" t="str">
        <x:v>제품 외상매출 거래처 B</x:v>
      </x:c>
      <x:c r="E27" s="24" t="str">
        <x:v>4010</x:v>
      </x:c>
      <x:c r="F27" s="24" t="str">
        <x:v>제품매출</x:v>
      </x:c>
      <x:c r="G27" s="42" t="n">
        <x:v>0</x:v>
      </x:c>
      <x:c r="H27" s="42" t="n">
        <x:v>48000000</x:v>
      </x:c>
      <x:c r="I27" s="24" t="str">
        <x:v>S-250915-02</x:v>
      </x:c>
      <x:c r="J27" s="24" t="str">
        <x:v>TAX_S-250915-02.xml</x:v>
      </x:c>
    </x:row>
    <x:row r="28" ht="21" customHeight="1">
      <x:c r="A28" s="39" t="n">
        <x:v>45915</x:v>
      </x:c>
      <x:c r="B28" s="26" t="str">
        <x:v>JE-S-250915-02</x:v>
      </x:c>
      <x:c r="C28" s="26" t="n">
        <x:v>3</x:v>
      </x:c>
      <x:c r="D28" s="26" t="str">
        <x:v>제품 외상매출 거래처 B</x:v>
      </x:c>
      <x:c r="E28" s="26" t="str">
        <x:v>2050</x:v>
      </x:c>
      <x:c r="F28" s="26" t="str">
        <x:v>부가세예수금</x:v>
      </x:c>
      <x:c r="G28" s="43" t="n">
        <x:v>0</x:v>
      </x:c>
      <x:c r="H28" s="43" t="n">
        <x:v>4800000</x:v>
      </x:c>
      <x:c r="I28" s="26" t="str">
        <x:v>S-250915-02</x:v>
      </x:c>
      <x:c r="J28" s="26" t="str">
        <x:v>TAX_S-250915-02.xml</x:v>
      </x:c>
    </x:row>
    <x:row r="29" ht="21" customHeight="1">
      <x:c r="A29" s="38" t="n">
        <x:v>45955</x:v>
      </x:c>
      <x:c r="B29" s="24" t="str">
        <x:v>JE-S-251025-03</x:v>
      </x:c>
      <x:c r="C29" s="24" t="n">
        <x:v>1</x:v>
      </x:c>
      <x:c r="D29" s="24" t="str">
        <x:v>제품 외상매출 거래처 C</x:v>
      </x:c>
      <x:c r="E29" s="24" t="str">
        <x:v>1080</x:v>
      </x:c>
      <x:c r="F29" s="24" t="str">
        <x:v>매출채권</x:v>
      </x:c>
      <x:c r="G29" s="42" t="n">
        <x:v>31900000</x:v>
      </x:c>
      <x:c r="H29" s="42" t="n">
        <x:v>0</x:v>
      </x:c>
      <x:c r="I29" s="24" t="str">
        <x:v>S-251025-03</x:v>
      </x:c>
      <x:c r="J29" s="24" t="str">
        <x:v>TAX_S-251025-03.xml</x:v>
      </x:c>
    </x:row>
    <x:row r="30" ht="21" customHeight="1">
      <x:c r="A30" s="39" t="n">
        <x:v>45955</x:v>
      </x:c>
      <x:c r="B30" s="26" t="str">
        <x:v>JE-S-251025-03</x:v>
      </x:c>
      <x:c r="C30" s="26" t="n">
        <x:v>2</x:v>
      </x:c>
      <x:c r="D30" s="26" t="str">
        <x:v>제품 외상매출 거래처 C</x:v>
      </x:c>
      <x:c r="E30" s="26" t="str">
        <x:v>4010</x:v>
      </x:c>
      <x:c r="F30" s="26" t="str">
        <x:v>제품매출</x:v>
      </x:c>
      <x:c r="G30" s="43" t="n">
        <x:v>0</x:v>
      </x:c>
      <x:c r="H30" s="43" t="n">
        <x:v>29000000</x:v>
      </x:c>
      <x:c r="I30" s="26" t="str">
        <x:v>S-251025-03</x:v>
      </x:c>
      <x:c r="J30" s="26" t="str">
        <x:v>TAX_S-251025-03.xml</x:v>
      </x:c>
    </x:row>
    <x:row r="31" ht="21" customHeight="1">
      <x:c r="A31" s="38" t="n">
        <x:v>45955</x:v>
      </x:c>
      <x:c r="B31" s="24" t="str">
        <x:v>JE-S-251025-03</x:v>
      </x:c>
      <x:c r="C31" s="24" t="n">
        <x:v>3</x:v>
      </x:c>
      <x:c r="D31" s="24" t="str">
        <x:v>제품 외상매출 거래처 C</x:v>
      </x:c>
      <x:c r="E31" s="24" t="str">
        <x:v>2050</x:v>
      </x:c>
      <x:c r="F31" s="24" t="str">
        <x:v>부가세예수금</x:v>
      </x:c>
      <x:c r="G31" s="42" t="n">
        <x:v>0</x:v>
      </x:c>
      <x:c r="H31" s="42" t="n">
        <x:v>2900000</x:v>
      </x:c>
      <x:c r="I31" s="24" t="str">
        <x:v>S-251025-03</x:v>
      </x:c>
      <x:c r="J31" s="24" t="str">
        <x:v>TAX_S-251025-03.xml</x:v>
      </x:c>
    </x:row>
    <x:row r="32" ht="21" customHeight="1">
      <x:c r="A32" s="39" t="n">
        <x:v>45970</x:v>
      </x:c>
      <x:c r="B32" s="26" t="str">
        <x:v>JE-S-251109-04</x:v>
      </x:c>
      <x:c r="C32" s="26" t="n">
        <x:v>1</x:v>
      </x:c>
      <x:c r="D32" s="26" t="str">
        <x:v>제품 외상매출 거래처 A</x:v>
      </x:c>
      <x:c r="E32" s="26" t="str">
        <x:v>1080</x:v>
      </x:c>
      <x:c r="F32" s="26" t="str">
        <x:v>매출채권</x:v>
      </x:c>
      <x:c r="G32" s="43" t="n">
        <x:v>71500000</x:v>
      </x:c>
      <x:c r="H32" s="43" t="n">
        <x:v>0</x:v>
      </x:c>
      <x:c r="I32" s="26" t="str">
        <x:v>S-251109-04</x:v>
      </x:c>
      <x:c r="J32" s="26" t="str">
        <x:v>TAX_S-251109-04.xml</x:v>
      </x:c>
    </x:row>
    <x:row r="33" ht="21" customHeight="1">
      <x:c r="A33" s="38" t="n">
        <x:v>45970</x:v>
      </x:c>
      <x:c r="B33" s="24" t="str">
        <x:v>JE-S-251109-04</x:v>
      </x:c>
      <x:c r="C33" s="24" t="n">
        <x:v>2</x:v>
      </x:c>
      <x:c r="D33" s="24" t="str">
        <x:v>제품 외상매출 거래처 A</x:v>
      </x:c>
      <x:c r="E33" s="24" t="str">
        <x:v>4010</x:v>
      </x:c>
      <x:c r="F33" s="24" t="str">
        <x:v>제품매출</x:v>
      </x:c>
      <x:c r="G33" s="42" t="n">
        <x:v>0</x:v>
      </x:c>
      <x:c r="H33" s="42" t="n">
        <x:v>65000000</x:v>
      </x:c>
      <x:c r="I33" s="24" t="str">
        <x:v>S-251109-04</x:v>
      </x:c>
      <x:c r="J33" s="24" t="str">
        <x:v>TAX_S-251109-04.xml</x:v>
      </x:c>
    </x:row>
    <x:row r="34" ht="21" customHeight="1">
      <x:c r="A34" s="39" t="n">
        <x:v>45970</x:v>
      </x:c>
      <x:c r="B34" s="26" t="str">
        <x:v>JE-S-251109-04</x:v>
      </x:c>
      <x:c r="C34" s="26" t="n">
        <x:v>3</x:v>
      </x:c>
      <x:c r="D34" s="26" t="str">
        <x:v>제품 외상매출 거래처 A</x:v>
      </x:c>
      <x:c r="E34" s="26" t="str">
        <x:v>2050</x:v>
      </x:c>
      <x:c r="F34" s="26" t="str">
        <x:v>부가세예수금</x:v>
      </x:c>
      <x:c r="G34" s="43" t="n">
        <x:v>0</x:v>
      </x:c>
      <x:c r="H34" s="43" t="n">
        <x:v>6500000</x:v>
      </x:c>
      <x:c r="I34" s="26" t="str">
        <x:v>S-251109-04</x:v>
      </x:c>
      <x:c r="J34" s="26" t="str">
        <x:v>TAX_S-251109-04.xml</x:v>
      </x:c>
    </x:row>
    <x:row r="35" ht="21" customHeight="1">
      <x:c r="A35" s="38" t="n">
        <x:v>45990</x:v>
      </x:c>
      <x:c r="B35" s="24" t="str">
        <x:v>JE-S-251129-05</x:v>
      </x:c>
      <x:c r="C35" s="24" t="n">
        <x:v>1</x:v>
      </x:c>
      <x:c r="D35" s="24" t="str">
        <x:v>제품 외상매출 거래처 D</x:v>
      </x:c>
      <x:c r="E35" s="24" t="str">
        <x:v>1080</x:v>
      </x:c>
      <x:c r="F35" s="24" t="str">
        <x:v>매출채권</x:v>
      </x:c>
      <x:c r="G35" s="42" t="n">
        <x:v>27500000</x:v>
      </x:c>
      <x:c r="H35" s="42" t="n">
        <x:v>0</x:v>
      </x:c>
      <x:c r="I35" s="24" t="str">
        <x:v>S-251129-05</x:v>
      </x:c>
      <x:c r="J35" s="24" t="str">
        <x:v>TAX_S-251129-05.xml</x:v>
      </x:c>
    </x:row>
    <x:row r="36" ht="21" customHeight="1">
      <x:c r="A36" s="39" t="n">
        <x:v>45990</x:v>
      </x:c>
      <x:c r="B36" s="26" t="str">
        <x:v>JE-S-251129-05</x:v>
      </x:c>
      <x:c r="C36" s="26" t="n">
        <x:v>2</x:v>
      </x:c>
      <x:c r="D36" s="26" t="str">
        <x:v>제품 외상매출 거래처 D</x:v>
      </x:c>
      <x:c r="E36" s="26" t="str">
        <x:v>4010</x:v>
      </x:c>
      <x:c r="F36" s="26" t="str">
        <x:v>제품매출</x:v>
      </x:c>
      <x:c r="G36" s="43" t="n">
        <x:v>0</x:v>
      </x:c>
      <x:c r="H36" s="43" t="n">
        <x:v>25000000</x:v>
      </x:c>
      <x:c r="I36" s="26" t="str">
        <x:v>S-251129-05</x:v>
      </x:c>
      <x:c r="J36" s="26" t="str">
        <x:v>TAX_S-251129-05.xml</x:v>
      </x:c>
    </x:row>
    <x:row r="37" ht="21" customHeight="1">
      <x:c r="A37" s="38" t="n">
        <x:v>45990</x:v>
      </x:c>
      <x:c r="B37" s="24" t="str">
        <x:v>JE-S-251129-05</x:v>
      </x:c>
      <x:c r="C37" s="24" t="n">
        <x:v>3</x:v>
      </x:c>
      <x:c r="D37" s="24" t="str">
        <x:v>제품 외상매출 거래처 D</x:v>
      </x:c>
      <x:c r="E37" s="24" t="str">
        <x:v>2050</x:v>
      </x:c>
      <x:c r="F37" s="24" t="str">
        <x:v>부가세예수금</x:v>
      </x:c>
      <x:c r="G37" s="42" t="n">
        <x:v>0</x:v>
      </x:c>
      <x:c r="H37" s="42" t="n">
        <x:v>2500000</x:v>
      </x:c>
      <x:c r="I37" s="24" t="str">
        <x:v>S-251129-05</x:v>
      </x:c>
      <x:c r="J37" s="24" t="str">
        <x:v>TAX_S-251129-05.xml</x:v>
      </x:c>
    </x:row>
    <x:row r="38" ht="21" customHeight="1">
      <x:c r="A38" s="39" t="n">
        <x:v>46001</x:v>
      </x:c>
      <x:c r="B38" s="26" t="str">
        <x:v>JE-S-251210-06</x:v>
      </x:c>
      <x:c r="C38" s="26" t="n">
        <x:v>1</x:v>
      </x:c>
      <x:c r="D38" s="26" t="str">
        <x:v>제품 외상매출 거래처 E</x:v>
      </x:c>
      <x:c r="E38" s="26" t="str">
        <x:v>1080</x:v>
      </x:c>
      <x:c r="F38" s="26" t="str">
        <x:v>매출채권</x:v>
      </x:c>
      <x:c r="G38" s="43" t="n">
        <x:v>80300000</x:v>
      </x:c>
      <x:c r="H38" s="43" t="n">
        <x:v>0</x:v>
      </x:c>
      <x:c r="I38" s="26" t="str">
        <x:v>S-251210-06</x:v>
      </x:c>
      <x:c r="J38" s="26" t="str">
        <x:v>TAX_S-251210-06.xml</x:v>
      </x:c>
    </x:row>
    <x:row r="39" ht="21" customHeight="1">
      <x:c r="A39" s="38" t="n">
        <x:v>46001</x:v>
      </x:c>
      <x:c r="B39" s="24" t="str">
        <x:v>JE-S-251210-06</x:v>
      </x:c>
      <x:c r="C39" s="24" t="n">
        <x:v>2</x:v>
      </x:c>
      <x:c r="D39" s="24" t="str">
        <x:v>제품 외상매출 거래처 E</x:v>
      </x:c>
      <x:c r="E39" s="24" t="str">
        <x:v>4010</x:v>
      </x:c>
      <x:c r="F39" s="24" t="str">
        <x:v>제품매출</x:v>
      </x:c>
      <x:c r="G39" s="42" t="n">
        <x:v>0</x:v>
      </x:c>
      <x:c r="H39" s="42" t="n">
        <x:v>73000000</x:v>
      </x:c>
      <x:c r="I39" s="24" t="str">
        <x:v>S-251210-06</x:v>
      </x:c>
      <x:c r="J39" s="24" t="str">
        <x:v>TAX_S-251210-06.xml</x:v>
      </x:c>
    </x:row>
    <x:row r="40" ht="21" customHeight="1">
      <x:c r="A40" s="39" t="n">
        <x:v>46001</x:v>
      </x:c>
      <x:c r="B40" s="26" t="str">
        <x:v>JE-S-251210-06</x:v>
      </x:c>
      <x:c r="C40" s="26" t="n">
        <x:v>3</x:v>
      </x:c>
      <x:c r="D40" s="26" t="str">
        <x:v>제품 외상매출 거래처 E</x:v>
      </x:c>
      <x:c r="E40" s="26" t="str">
        <x:v>2050</x:v>
      </x:c>
      <x:c r="F40" s="26" t="str">
        <x:v>부가세예수금</x:v>
      </x:c>
      <x:c r="G40" s="43" t="n">
        <x:v>0</x:v>
      </x:c>
      <x:c r="H40" s="43" t="n">
        <x:v>7300000</x:v>
      </x:c>
      <x:c r="I40" s="26" t="str">
        <x:v>S-251210-06</x:v>
      </x:c>
      <x:c r="J40" s="26" t="str">
        <x:v>TAX_S-251210-06.xml</x:v>
      </x:c>
    </x:row>
    <x:row r="41" ht="21" customHeight="1">
      <x:c r="A41" s="38" t="n">
        <x:v>46012</x:v>
      </x:c>
      <x:c r="B41" s="24" t="str">
        <x:v>JE-S-251221-07</x:v>
      </x:c>
      <x:c r="C41" s="24" t="n">
        <x:v>1</x:v>
      </x:c>
      <x:c r="D41" s="24" t="str">
        <x:v>제품 외상매출 거래처 B</x:v>
      </x:c>
      <x:c r="E41" s="24" t="str">
        <x:v>1080</x:v>
      </x:c>
      <x:c r="F41" s="24" t="str">
        <x:v>매출채권</x:v>
      </x:c>
      <x:c r="G41" s="42" t="n">
        <x:v>45100000</x:v>
      </x:c>
      <x:c r="H41" s="42" t="n">
        <x:v>0</x:v>
      </x:c>
      <x:c r="I41" s="24" t="str">
        <x:v>S-251221-07</x:v>
      </x:c>
      <x:c r="J41" s="24" t="str">
        <x:v>TAX_S-251221-07.xml</x:v>
      </x:c>
    </x:row>
    <x:row r="42" ht="21" customHeight="1">
      <x:c r="A42" s="39" t="n">
        <x:v>46012</x:v>
      </x:c>
      <x:c r="B42" s="26" t="str">
        <x:v>JE-S-251221-07</x:v>
      </x:c>
      <x:c r="C42" s="26" t="n">
        <x:v>2</x:v>
      </x:c>
      <x:c r="D42" s="26" t="str">
        <x:v>제품 외상매출 거래처 B</x:v>
      </x:c>
      <x:c r="E42" s="26" t="str">
        <x:v>4010</x:v>
      </x:c>
      <x:c r="F42" s="26" t="str">
        <x:v>제품매출</x:v>
      </x:c>
      <x:c r="G42" s="43" t="n">
        <x:v>0</x:v>
      </x:c>
      <x:c r="H42" s="43" t="n">
        <x:v>41000000</x:v>
      </x:c>
      <x:c r="I42" s="26" t="str">
        <x:v>S-251221-07</x:v>
      </x:c>
      <x:c r="J42" s="26" t="str">
        <x:v>TAX_S-251221-07.xml</x:v>
      </x:c>
    </x:row>
    <x:row r="43" ht="21" customHeight="1">
      <x:c r="A43" s="38" t="n">
        <x:v>46012</x:v>
      </x:c>
      <x:c r="B43" s="24" t="str">
        <x:v>JE-S-251221-07</x:v>
      </x:c>
      <x:c r="C43" s="24" t="n">
        <x:v>3</x:v>
      </x:c>
      <x:c r="D43" s="24" t="str">
        <x:v>제품 외상매출 거래처 B</x:v>
      </x:c>
      <x:c r="E43" s="24" t="str">
        <x:v>2050</x:v>
      </x:c>
      <x:c r="F43" s="24" t="str">
        <x:v>부가세예수금</x:v>
      </x:c>
      <x:c r="G43" s="42" t="n">
        <x:v>0</x:v>
      </x:c>
      <x:c r="H43" s="42" t="n">
        <x:v>4100000</x:v>
      </x:c>
      <x:c r="I43" s="24" t="str">
        <x:v>S-251221-07</x:v>
      </x:c>
      <x:c r="J43" s="24" t="str">
        <x:v>TAX_S-251221-07.xml</x:v>
      </x:c>
    </x:row>
    <x:row r="44" ht="21" customHeight="1">
      <x:c r="A44" s="39" t="n">
        <x:v>46019</x:v>
      </x:c>
      <x:c r="B44" s="26" t="str">
        <x:v>JE-S-251228-08</x:v>
      </x:c>
      <x:c r="C44" s="26" t="n">
        <x:v>1</x:v>
      </x:c>
      <x:c r="D44" s="26" t="str">
        <x:v>제품 외상매출 거래처 F</x:v>
      </x:c>
      <x:c r="E44" s="26" t="str">
        <x:v>1080</x:v>
      </x:c>
      <x:c r="F44" s="26" t="str">
        <x:v>매출채권</x:v>
      </x:c>
      <x:c r="G44" s="43" t="n">
        <x:v>19800000</x:v>
      </x:c>
      <x:c r="H44" s="43" t="n">
        <x:v>0</x:v>
      </x:c>
      <x:c r="I44" s="26" t="str">
        <x:v>S-251228-08</x:v>
      </x:c>
      <x:c r="J44" s="26" t="str">
        <x:v>TAX_S-251228-08.xml</x:v>
      </x:c>
    </x:row>
    <x:row r="45" ht="21" customHeight="1">
      <x:c r="A45" s="38" t="n">
        <x:v>46019</x:v>
      </x:c>
      <x:c r="B45" s="24" t="str">
        <x:v>JE-S-251228-08</x:v>
      </x:c>
      <x:c r="C45" s="24" t="n">
        <x:v>2</x:v>
      </x:c>
      <x:c r="D45" s="24" t="str">
        <x:v>제품 외상매출 거래처 F</x:v>
      </x:c>
      <x:c r="E45" s="24" t="str">
        <x:v>4010</x:v>
      </x:c>
      <x:c r="F45" s="24" t="str">
        <x:v>제품매출</x:v>
      </x:c>
      <x:c r="G45" s="42" t="n">
        <x:v>0</x:v>
      </x:c>
      <x:c r="H45" s="42" t="n">
        <x:v>18000000</x:v>
      </x:c>
      <x:c r="I45" s="24" t="str">
        <x:v>S-251228-08</x:v>
      </x:c>
      <x:c r="J45" s="24" t="str">
        <x:v>TAX_S-251228-08.xml</x:v>
      </x:c>
    </x:row>
    <x:row r="46" ht="21" customHeight="1">
      <x:c r="A46" s="39" t="n">
        <x:v>46019</x:v>
      </x:c>
      <x:c r="B46" s="26" t="str">
        <x:v>JE-S-251228-08</x:v>
      </x:c>
      <x:c r="C46" s="26" t="n">
        <x:v>3</x:v>
      </x:c>
      <x:c r="D46" s="26" t="str">
        <x:v>제품 외상매출 거래처 F</x:v>
      </x:c>
      <x:c r="E46" s="26" t="str">
        <x:v>2050</x:v>
      </x:c>
      <x:c r="F46" s="26" t="str">
        <x:v>부가세예수금</x:v>
      </x:c>
      <x:c r="G46" s="43" t="n">
        <x:v>0</x:v>
      </x:c>
      <x:c r="H46" s="43" t="n">
        <x:v>1800000</x:v>
      </x:c>
      <x:c r="I46" s="26" t="str">
        <x:v>S-251228-08</x:v>
      </x:c>
      <x:c r="J46" s="26" t="str">
        <x:v>TAX_S-251228-08.xml</x:v>
      </x:c>
    </x:row>
    <x:row r="47" ht="21" customHeight="1">
      <x:c r="A47" s="38" t="n">
        <x:v>46021</x:v>
      </x:c>
      <x:c r="B47" s="24" t="str">
        <x:v>JE-S-251230-09</x:v>
      </x:c>
      <x:c r="C47" s="24" t="n">
        <x:v>1</x:v>
      </x:c>
      <x:c r="D47" s="24" t="str">
        <x:v>제품 외상매출 거래처 C</x:v>
      </x:c>
      <x:c r="E47" s="24" t="str">
        <x:v>1080</x:v>
      </x:c>
      <x:c r="F47" s="24" t="str">
        <x:v>매출채권</x:v>
      </x:c>
      <x:c r="G47" s="42" t="n">
        <x:v>48400000</x:v>
      </x:c>
      <x:c r="H47" s="42" t="n">
        <x:v>0</x:v>
      </x:c>
      <x:c r="I47" s="24" t="str">
        <x:v>S-251230-09</x:v>
      </x:c>
      <x:c r="J47" s="24" t="str">
        <x:v>TAX_S-251230-09.xml</x:v>
      </x:c>
    </x:row>
    <x:row r="48" ht="21" customHeight="1">
      <x:c r="A48" s="39" t="n">
        <x:v>46021</x:v>
      </x:c>
      <x:c r="B48" s="26" t="str">
        <x:v>JE-S-251230-09</x:v>
      </x:c>
      <x:c r="C48" s="26" t="n">
        <x:v>2</x:v>
      </x:c>
      <x:c r="D48" s="26" t="str">
        <x:v>제품 외상매출 거래처 C</x:v>
      </x:c>
      <x:c r="E48" s="26" t="str">
        <x:v>4010</x:v>
      </x:c>
      <x:c r="F48" s="26" t="str">
        <x:v>제품매출</x:v>
      </x:c>
      <x:c r="G48" s="43" t="n">
        <x:v>0</x:v>
      </x:c>
      <x:c r="H48" s="43" t="n">
        <x:v>44000000</x:v>
      </x:c>
      <x:c r="I48" s="26" t="str">
        <x:v>S-251230-09</x:v>
      </x:c>
      <x:c r="J48" s="26" t="str">
        <x:v>TAX_S-251230-09.xml</x:v>
      </x:c>
    </x:row>
    <x:row r="49" ht="21" customHeight="1">
      <x:c r="A49" s="38" t="n">
        <x:v>46021</x:v>
      </x:c>
      <x:c r="B49" s="24" t="str">
        <x:v>JE-S-251230-09</x:v>
      </x:c>
      <x:c r="C49" s="24" t="n">
        <x:v>3</x:v>
      </x:c>
      <x:c r="D49" s="24" t="str">
        <x:v>제품 외상매출 거래처 C</x:v>
      </x:c>
      <x:c r="E49" s="24" t="str">
        <x:v>2050</x:v>
      </x:c>
      <x:c r="F49" s="24" t="str">
        <x:v>부가세예수금</x:v>
      </x:c>
      <x:c r="G49" s="42" t="n">
        <x:v>0</x:v>
      </x:c>
      <x:c r="H49" s="42" t="n">
        <x:v>4400000</x:v>
      </x:c>
      <x:c r="I49" s="24" t="str">
        <x:v>S-251230-09</x:v>
      </x:c>
      <x:c r="J49" s="24" t="str">
        <x:v>TAX_S-251230-09.xml</x:v>
      </x:c>
    </x:row>
    <x:row r="50" ht="21" customHeight="1">
      <x:c r="A50" s="39" t="n">
        <x:v>45961</x:v>
      </x:c>
      <x:c r="B50" s="26" t="str">
        <x:v>JE-R-251031-01</x:v>
      </x:c>
      <x:c r="C50" s="26" t="n">
        <x:v>1</x:v>
      </x:c>
      <x:c r="D50" s="26" t="str">
        <x:v>매출채권 회수</x:v>
      </x:c>
      <x:c r="E50" s="26" t="str">
        <x:v>1010</x:v>
      </x:c>
      <x:c r="F50" s="26" t="str">
        <x:v>보통예금</x:v>
      </x:c>
      <x:c r="G50" s="43" t="n">
        <x:v>20000000</x:v>
      </x:c>
      <x:c r="H50" s="43" t="n">
        <x:v>0</x:v>
      </x:c>
      <x:c r="I50" s="26" t="str">
        <x:v>S-250820-01</x:v>
      </x:c>
      <x:c r="J50" s="26" t="str">
        <x:v>BANK-1031-01.pdf</x:v>
      </x:c>
    </x:row>
    <x:row r="51" ht="21" customHeight="1">
      <x:c r="A51" s="38" t="n">
        <x:v>45961</x:v>
      </x:c>
      <x:c r="B51" s="24" t="str">
        <x:v>JE-R-251031-01</x:v>
      </x:c>
      <x:c r="C51" s="24" t="n">
        <x:v>2</x:v>
      </x:c>
      <x:c r="D51" s="24" t="str">
        <x:v>매출채권 회수</x:v>
      </x:c>
      <x:c r="E51" s="24" t="str">
        <x:v>1080</x:v>
      </x:c>
      <x:c r="F51" s="24" t="str">
        <x:v>매출채권</x:v>
      </x:c>
      <x:c r="G51" s="42" t="n">
        <x:v>0</x:v>
      </x:c>
      <x:c r="H51" s="42" t="n">
        <x:v>20000000</x:v>
      </x:c>
      <x:c r="I51" s="24" t="str">
        <x:v>S-250820-01</x:v>
      </x:c>
      <x:c r="J51" s="24" t="str">
        <x:v>BANK-1031-01.pdf</x:v>
      </x:c>
    </x:row>
    <x:row r="52" ht="21" customHeight="1">
      <x:c r="A52" s="39" t="n">
        <x:v>45970</x:v>
      </x:c>
      <x:c r="B52" s="26" t="str">
        <x:v>JE-R-251109-02</x:v>
      </x:c>
      <x:c r="C52" s="26" t="n">
        <x:v>1</x:v>
      </x:c>
      <x:c r="D52" s="26" t="str">
        <x:v>매출채권 회수</x:v>
      </x:c>
      <x:c r="E52" s="26" t="str">
        <x:v>1010</x:v>
      </x:c>
      <x:c r="F52" s="26" t="str">
        <x:v>보통예금</x:v>
      </x:c>
      <x:c r="G52" s="43" t="n">
        <x:v>33000000</x:v>
      </x:c>
      <x:c r="H52" s="43" t="n">
        <x:v>0</x:v>
      </x:c>
      <x:c r="I52" s="26" t="str">
        <x:v>S-250915-02</x:v>
      </x:c>
      <x:c r="J52" s="26" t="str">
        <x:v>BANK-1109-02.pdf</x:v>
      </x:c>
    </x:row>
    <x:row r="53" ht="21" customHeight="1">
      <x:c r="A53" s="38" t="n">
        <x:v>45970</x:v>
      </x:c>
      <x:c r="B53" s="24" t="str">
        <x:v>JE-R-251109-02</x:v>
      </x:c>
      <x:c r="C53" s="24" t="n">
        <x:v>2</x:v>
      </x:c>
      <x:c r="D53" s="24" t="str">
        <x:v>매출채권 회수</x:v>
      </x:c>
      <x:c r="E53" s="24" t="str">
        <x:v>1080</x:v>
      </x:c>
      <x:c r="F53" s="24" t="str">
        <x:v>매출채권</x:v>
      </x:c>
      <x:c r="G53" s="42" t="n">
        <x:v>0</x:v>
      </x:c>
      <x:c r="H53" s="42" t="n">
        <x:v>33000000</x:v>
      </x:c>
      <x:c r="I53" s="24" t="str">
        <x:v>S-250915-02</x:v>
      </x:c>
      <x:c r="J53" s="24" t="str">
        <x:v>BANK-1109-02.pdf</x:v>
      </x:c>
    </x:row>
    <x:row r="54" ht="21" customHeight="1">
      <x:c r="A54" s="39" t="n">
        <x:v>45982</x:v>
      </x:c>
      <x:c r="B54" s="26" t="str">
        <x:v>JE-R-251121-03</x:v>
      </x:c>
      <x:c r="C54" s="26" t="n">
        <x:v>1</x:v>
      </x:c>
      <x:c r="D54" s="26" t="str">
        <x:v>매출채권 회수</x:v>
      </x:c>
      <x:c r="E54" s="26" t="str">
        <x:v>1010</x:v>
      </x:c>
      <x:c r="F54" s="26" t="str">
        <x:v>보통예금</x:v>
      </x:c>
      <x:c r="G54" s="43" t="n">
        <x:v>10000000</x:v>
      </x:c>
      <x:c r="H54" s="43" t="n">
        <x:v>0</x:v>
      </x:c>
      <x:c r="I54" s="26" t="str">
        <x:v>S-251025-03</x:v>
      </x:c>
      <x:c r="J54" s="26" t="str">
        <x:v>BANK-1121-03.pdf</x:v>
      </x:c>
    </x:row>
    <x:row r="55" ht="21" customHeight="1">
      <x:c r="A55" s="38" t="n">
        <x:v>45982</x:v>
      </x:c>
      <x:c r="B55" s="24" t="str">
        <x:v>JE-R-251121-03</x:v>
      </x:c>
      <x:c r="C55" s="24" t="n">
        <x:v>2</x:v>
      </x:c>
      <x:c r="D55" s="24" t="str">
        <x:v>매출채권 회수</x:v>
      </x:c>
      <x:c r="E55" s="24" t="str">
        <x:v>1080</x:v>
      </x:c>
      <x:c r="F55" s="24" t="str">
        <x:v>매출채권</x:v>
      </x:c>
      <x:c r="G55" s="42" t="n">
        <x:v>0</x:v>
      </x:c>
      <x:c r="H55" s="42" t="n">
        <x:v>10000000</x:v>
      </x:c>
      <x:c r="I55" s="24" t="str">
        <x:v>S-251025-03</x:v>
      </x:c>
      <x:c r="J55" s="24" t="str">
        <x:v>BANK-1121-03.pdf</x:v>
      </x:c>
    </x:row>
    <x:row r="56" ht="21" customHeight="1">
      <x:c r="A56" s="39" t="n">
        <x:v>46006</x:v>
      </x:c>
      <x:c r="B56" s="26" t="str">
        <x:v>JE-R-251215-04</x:v>
      </x:c>
      <x:c r="C56" s="26" t="n">
        <x:v>1</x:v>
      </x:c>
      <x:c r="D56" s="26" t="str">
        <x:v>매출채권 회수</x:v>
      </x:c>
      <x:c r="E56" s="26" t="str">
        <x:v>1010</x:v>
      </x:c>
      <x:c r="F56" s="26" t="str">
        <x:v>보통예금</x:v>
      </x:c>
      <x:c r="G56" s="43" t="n">
        <x:v>30000000</x:v>
      </x:c>
      <x:c r="H56" s="43" t="n">
        <x:v>0</x:v>
      </x:c>
      <x:c r="I56" s="26" t="str">
        <x:v>S-251109-04</x:v>
      </x:c>
      <x:c r="J56" s="26" t="str">
        <x:v>BANK-1215-04.pdf</x:v>
      </x:c>
    </x:row>
    <x:row r="57" ht="21" customHeight="1">
      <x:c r="A57" s="38" t="n">
        <x:v>46006</x:v>
      </x:c>
      <x:c r="B57" s="24" t="str">
        <x:v>JE-R-251215-04</x:v>
      </x:c>
      <x:c r="C57" s="24" t="n">
        <x:v>2</x:v>
      </x:c>
      <x:c r="D57" s="24" t="str">
        <x:v>매출채권 회수</x:v>
      </x:c>
      <x:c r="E57" s="24" t="str">
        <x:v>1080</x:v>
      </x:c>
      <x:c r="F57" s="24" t="str">
        <x:v>매출채권</x:v>
      </x:c>
      <x:c r="G57" s="42" t="n">
        <x:v>0</x:v>
      </x:c>
      <x:c r="H57" s="42" t="n">
        <x:v>30000000</x:v>
      </x:c>
      <x:c r="I57" s="24" t="str">
        <x:v>S-251109-04</x:v>
      </x:c>
      <x:c r="J57" s="24" t="str">
        <x:v>BANK-1215-04.pdf</x:v>
      </x:c>
    </x:row>
    <x:row r="58" ht="21" customHeight="1">
      <x:c r="A58" s="39" t="n">
        <x:v>46020</x:v>
      </x:c>
      <x:c r="B58" s="26" t="str">
        <x:v>JE-R-251229-05</x:v>
      </x:c>
      <x:c r="C58" s="26" t="n">
        <x:v>1</x:v>
      </x:c>
      <x:c r="D58" s="26" t="str">
        <x:v>매출채권 회수</x:v>
      </x:c>
      <x:c r="E58" s="26" t="str">
        <x:v>1010</x:v>
      </x:c>
      <x:c r="F58" s="26" t="str">
        <x:v>보통예금</x:v>
      </x:c>
      <x:c r="G58" s="43" t="n">
        <x:v>15000000</x:v>
      </x:c>
      <x:c r="H58" s="43" t="n">
        <x:v>0</x:v>
      </x:c>
      <x:c r="I58" s="26" t="str">
        <x:v>S-251210-06</x:v>
      </x:c>
      <x:c r="J58" s="26" t="str">
        <x:v>BANK-1229-05.pdf</x:v>
      </x:c>
    </x:row>
    <x:row r="59" ht="21" customHeight="1">
      <x:c r="A59" s="38" t="n">
        <x:v>46020</x:v>
      </x:c>
      <x:c r="B59" s="24" t="str">
        <x:v>JE-R-251229-05</x:v>
      </x:c>
      <x:c r="C59" s="24" t="n">
        <x:v>2</x:v>
      </x:c>
      <x:c r="D59" s="24" t="str">
        <x:v>매출채권 회수</x:v>
      </x:c>
      <x:c r="E59" s="24" t="str">
        <x:v>1080</x:v>
      </x:c>
      <x:c r="F59" s="24" t="str">
        <x:v>매출채권</x:v>
      </x:c>
      <x:c r="G59" s="42" t="n">
        <x:v>0</x:v>
      </x:c>
      <x:c r="H59" s="42" t="n">
        <x:v>15000000</x:v>
      </x:c>
      <x:c r="I59" s="24" t="str">
        <x:v>S-251210-06</x:v>
      </x:c>
      <x:c r="J59" s="24" t="str">
        <x:v>BANK-1229-05.pdf</x:v>
      </x:c>
    </x:row>
    <x:row r="60" ht="21" customHeight="1">
      <x:c r="A60" s="39" t="n">
        <x:v>46022</x:v>
      </x:c>
      <x:c r="B60" s="26" t="str">
        <x:v>JE-0090</x:v>
      </x:c>
      <x:c r="C60" s="26" t="n">
        <x:v>1</x:v>
      </x:c>
      <x:c r="D60" s="26" t="str">
        <x:v>당기 판매제품 원가 반영</x:v>
      </x:c>
      <x:c r="E60" s="26" t="str">
        <x:v>5010</x:v>
      </x:c>
      <x:c r="F60" s="26" t="str">
        <x:v>매출원가</x:v>
      </x:c>
      <x:c r="G60" s="43" t="n">
        <x:v>118000000</x:v>
      </x:c>
      <x:c r="H60" s="43" t="n">
        <x:v>0</x:v>
      </x:c>
      <x:c r="I60" s="26" t="str"/>
      <x:c r="J60" s="26" t="str">
        <x:v>재고수불부.xlsx</x:v>
      </x:c>
    </x:row>
    <x:row r="61" ht="21" customHeight="1">
      <x:c r="A61" s="38" t="n">
        <x:v>46022</x:v>
      </x:c>
      <x:c r="B61" s="24" t="str">
        <x:v>JE-0090</x:v>
      </x:c>
      <x:c r="C61" s="24" t="n">
        <x:v>2</x:v>
      </x:c>
      <x:c r="D61" s="24" t="str">
        <x:v>당기 판매제품 원가 반영</x:v>
      </x:c>
      <x:c r="E61" s="24" t="str">
        <x:v>1200</x:v>
      </x:c>
      <x:c r="F61" s="24" t="str">
        <x:v>제품재고</x:v>
      </x:c>
      <x:c r="G61" s="42" t="n">
        <x:v>0</x:v>
      </x:c>
      <x:c r="H61" s="42" t="n">
        <x:v>118000000</x:v>
      </x:c>
      <x:c r="I61" s="24" t="str"/>
      <x:c r="J61" s="24" t="str">
        <x:v>재고수불부.xlsx</x:v>
      </x:c>
    </x:row>
    <x:row r="62" ht="21" customHeight="1">
      <x:c r="A62" s="39" t="n">
        <x:v>46022</x:v>
      </x:c>
      <x:c r="B62" s="26" t="str">
        <x:v>JE-0091</x:v>
      </x:c>
      <x:c r="C62" s="26" t="n">
        <x:v>1</x:v>
      </x:c>
      <x:c r="D62" s="26" t="str">
        <x:v>당기 급여 지급</x:v>
      </x:c>
      <x:c r="E62" s="26" t="str">
        <x:v>6010</x:v>
      </x:c>
      <x:c r="F62" s="26" t="str">
        <x:v>급여</x:v>
      </x:c>
      <x:c r="G62" s="43" t="n">
        <x:v>32000000</x:v>
      </x:c>
      <x:c r="H62" s="43" t="n">
        <x:v>0</x:v>
      </x:c>
      <x:c r="I62" s="26" t="str"/>
      <x:c r="J62" s="26" t="str">
        <x:v>급여대장.xlsx</x:v>
      </x:c>
    </x:row>
    <x:row r="63" ht="21" customHeight="1">
      <x:c r="A63" s="38" t="n">
        <x:v>46022</x:v>
      </x:c>
      <x:c r="B63" s="24" t="str">
        <x:v>JE-0091</x:v>
      </x:c>
      <x:c r="C63" s="24" t="n">
        <x:v>2</x:v>
      </x:c>
      <x:c r="D63" s="24" t="str">
        <x:v>당기 급여 지급</x:v>
      </x:c>
      <x:c r="E63" s="24" t="str">
        <x:v>1010</x:v>
      </x:c>
      <x:c r="F63" s="24" t="str">
        <x:v>보통예금</x:v>
      </x:c>
      <x:c r="G63" s="42" t="n">
        <x:v>0</x:v>
      </x:c>
      <x:c r="H63" s="42" t="n">
        <x:v>32000000</x:v>
      </x:c>
      <x:c r="I63" s="24" t="str"/>
      <x:c r="J63" s="24" t="str">
        <x:v>급여대장.xlsx</x:v>
      </x:c>
    </x:row>
    <x:row r="64" ht="21" customHeight="1">
      <x:c r="A64" s="39" t="n">
        <x:v>46022</x:v>
      </x:c>
      <x:c r="B64" s="26" t="str">
        <x:v>JE-0092</x:v>
      </x:c>
      <x:c r="C64" s="26" t="n">
        <x:v>1</x:v>
      </x:c>
      <x:c r="D64" s="26" t="str">
        <x:v>공장 임차료 지급</x:v>
      </x:c>
      <x:c r="E64" s="26" t="str">
        <x:v>6020</x:v>
      </x:c>
      <x:c r="F64" s="26" t="str">
        <x:v>지급임차료</x:v>
      </x:c>
      <x:c r="G64" s="43" t="n">
        <x:v>18000000</x:v>
      </x:c>
      <x:c r="H64" s="43" t="n">
        <x:v>0</x:v>
      </x:c>
      <x:c r="I64" s="26" t="str"/>
      <x:c r="J64" s="26" t="str">
        <x:v>임차계약서.pdf</x:v>
      </x:c>
    </x:row>
    <x:row r="65" ht="21" customHeight="1">
      <x:c r="A65" s="38" t="n">
        <x:v>46022</x:v>
      </x:c>
      <x:c r="B65" s="24" t="str">
        <x:v>JE-0092</x:v>
      </x:c>
      <x:c r="C65" s="24" t="n">
        <x:v>2</x:v>
      </x:c>
      <x:c r="D65" s="24" t="str">
        <x:v>공장 임차료 지급</x:v>
      </x:c>
      <x:c r="E65" s="24" t="str">
        <x:v>1010</x:v>
      </x:c>
      <x:c r="F65" s="24" t="str">
        <x:v>보통예금</x:v>
      </x:c>
      <x:c r="G65" s="42" t="n">
        <x:v>0</x:v>
      </x:c>
      <x:c r="H65" s="42" t="n">
        <x:v>18000000</x:v>
      </x:c>
      <x:c r="I65" s="24" t="str"/>
      <x:c r="J65" s="24" t="str">
        <x:v>임차계약서.pdf</x:v>
      </x:c>
    </x:row>
    <x:row r="66" ht="21" customHeight="1">
      <x:c r="A66" s="39" t="n">
        <x:v>46022</x:v>
      </x:c>
      <x:c r="B66" s="26" t="str">
        <x:v>JE-0093</x:v>
      </x:c>
      <x:c r="C66" s="26" t="n">
        <x:v>1</x:v>
      </x:c>
      <x:c r="D66" s="26" t="str">
        <x:v>공장 수도광열비 지급</x:v>
      </x:c>
      <x:c r="E66" s="26" t="str">
        <x:v>6040</x:v>
      </x:c>
      <x:c r="F66" s="26" t="str">
        <x:v>수도광열비</x:v>
      </x:c>
      <x:c r="G66" s="43" t="n">
        <x:v>9000000</x:v>
      </x:c>
      <x:c r="H66" s="43" t="n">
        <x:v>0</x:v>
      </x:c>
      <x:c r="I66" s="26" t="str"/>
      <x:c r="J66" s="26" t="str">
        <x:v>공과금명세.pdf</x:v>
      </x:c>
    </x:row>
    <x:row r="67" ht="21" customHeight="1">
      <x:c r="A67" s="38" t="n">
        <x:v>46022</x:v>
      </x:c>
      <x:c r="B67" s="24" t="str">
        <x:v>JE-0093</x:v>
      </x:c>
      <x:c r="C67" s="24" t="n">
        <x:v>2</x:v>
      </x:c>
      <x:c r="D67" s="24" t="str">
        <x:v>공장 수도광열비 지급</x:v>
      </x:c>
      <x:c r="E67" s="24" t="str">
        <x:v>1010</x:v>
      </x:c>
      <x:c r="F67" s="24" t="str">
        <x:v>보통예금</x:v>
      </x:c>
      <x:c r="G67" s="42" t="n">
        <x:v>0</x:v>
      </x:c>
      <x:c r="H67" s="42" t="n">
        <x:v>9000000</x:v>
      </x:c>
      <x:c r="I67" s="24" t="str"/>
      <x:c r="J67" s="24" t="str">
        <x:v>공과금명세.pdf</x:v>
      </x:c>
    </x:row>
    <x:row r="68" ht="21" customHeight="1">
      <x:c r="A68" s="39" t="n">
        <x:v>46022</x:v>
      </x:c>
      <x:c r="B68" s="26" t="str">
        <x:v>JE-0094</x:v>
      </x:c>
      <x:c r="C68" s="26" t="n">
        <x:v>1</x:v>
      </x:c>
      <x:c r="D68" s="26" t="str">
        <x:v>기계장치 감가상각비</x:v>
      </x:c>
      <x:c r="E68" s="26" t="str">
        <x:v>6030</x:v>
      </x:c>
      <x:c r="F68" s="26" t="str">
        <x:v>감가상각비</x:v>
      </x:c>
      <x:c r="G68" s="43" t="n">
        <x:v>7500000</x:v>
      </x:c>
      <x:c r="H68" s="43" t="n">
        <x:v>0</x:v>
      </x:c>
      <x:c r="I68" s="26" t="str"/>
      <x:c r="J68" s="26" t="str">
        <x:v>감가상각명세.xlsx</x:v>
      </x:c>
    </x:row>
    <x:row r="69" ht="21" customHeight="1">
      <x:c r="A69" s="38" t="n">
        <x:v>46022</x:v>
      </x:c>
      <x:c r="B69" s="24" t="str">
        <x:v>JE-0094</x:v>
      </x:c>
      <x:c r="C69" s="24" t="n">
        <x:v>2</x:v>
      </x:c>
      <x:c r="D69" s="24" t="str">
        <x:v>기계장치 감가상각비</x:v>
      </x:c>
      <x:c r="E69" s="24" t="str">
        <x:v>1590</x:v>
      </x:c>
      <x:c r="F69" s="24" t="str">
        <x:v>감가상각누계액</x:v>
      </x:c>
      <x:c r="G69" s="42" t="n">
        <x:v>0</x:v>
      </x:c>
      <x:c r="H69" s="42" t="n">
        <x:v>7500000</x:v>
      </x:c>
      <x:c r="I69" s="24" t="str"/>
      <x:c r="J69" s="24" t="str">
        <x:v>감가상각명세.xlsx</x:v>
      </x:c>
    </x:row>
    <x:row r="70" ht="29" customHeight="1">
      <x:c r="A70" s="47" t="str">
        <x:v>전체 합계</x:v>
      </x:c>
      <x:c r="B70" s="47"/>
      <x:c r="C70" s="47"/>
      <x:c r="D70" s="47"/>
      <x:c r="E70" s="47"/>
      <x:c r="F70" s="47"/>
      <x:c r="G70" s="50" t="n">
        <x:f>SUM(G5:G69)</x:f>
        <x:v>1643800000</x:v>
      </x:c>
      <x:c r="H70" s="50" t="n">
        <x:f>SUM(H5:H69)</x:f>
        <x:v>1643800000</x:v>
      </x:c>
      <x:c r="I70" s="50" t="n">
        <x:f>G70-H70</x:f>
        <x:v>0</x:v>
      </x:c>
      <x:c r="J70" s="47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8" hidden="0" customWidth="1"/>
    <x:col min="4" max="4" width="17" hidden="0" customWidth="1"/>
    <x:col min="5" max="5" width="17" hidden="0" customWidth="1"/>
    <x:col min="6" max="6" width="22" hidden="0" customWidth="1"/>
    <x:col min="7" max="7" width="20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20" hidden="0" customWidth="1"/>
    <x:col min="13" max="13" width="36" hidden="0" customWidth="1"/>
  </x:cols>
  <x:sheetData>
    <x:row r="1" ht="34" customHeight="1">
      <x:c r="A1" s="4" t="str">
        <x:v>AR Aging | 매출채권 명세 v1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57" t="str">
        <x:v>기말 기준일</x:v>
      </x:c>
    </x:row>
    <x:row r="2" ht="26" customHeight="1">
      <x:c r="A2" s="10" t="str">
        <x:v>매출문서별 미수금·만기연령 분석 · 회사가 추출해 회계사에게 제공하는 보조명세 형태 · v2는 수정본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62" t="n">
        <x:v>46022</x:v>
      </x:c>
    </x:row>
    <x:row r="4" ht="30" customHeight="1">
      <x:c r="A4" s="17" t="str">
        <x:v>매출문서번호</x:v>
      </x:c>
      <x:c r="B4" s="17" t="str">
        <x:v>거래처코드</x:v>
      </x:c>
      <x:c r="C4" s="17" t="str">
        <x:v>거래처명</x:v>
      </x:c>
      <x:c r="D4" s="17" t="str">
        <x:v>발행일</x:v>
      </x:c>
      <x:c r="E4" s="17" t="str">
        <x:v>지급기한</x:v>
      </x:c>
      <x:c r="F4" s="17" t="str">
        <x:v>공급가액</x:v>
      </x:c>
      <x:c r="G4" s="17" t="str">
        <x:v>부가세</x:v>
      </x:c>
      <x:c r="H4" s="17" t="str">
        <x:v>청구합계</x:v>
      </x:c>
      <x:c r="I4" s="17" t="str">
        <x:v>누적수금</x:v>
      </x:c>
      <x:c r="J4" s="17" t="str">
        <x:v>기말미수금</x:v>
      </x:c>
      <x:c r="K4" s="17" t="str">
        <x:v>경과일</x:v>
      </x:c>
      <x:c r="L4" s="17" t="str">
        <x:v>연령구간</x:v>
      </x:c>
      <x:c r="M4" s="17" t="str">
        <x:v>증빙 파일</x:v>
      </x:c>
    </x:row>
    <x:row r="5" ht="23" customHeight="1">
      <x:c r="A5" s="24" t="str">
        <x:v>S-250820-01</x:v>
      </x:c>
      <x:c r="B5" s="24" t="str">
        <x:v>C001</x:v>
      </x:c>
      <x:c r="C5" s="24" t="str">
        <x:v>거래처 A</x:v>
      </x:c>
      <x:c r="D5" s="38" t="n">
        <x:v>45889</x:v>
      </x:c>
      <x:c r="E5" s="38" t="n">
        <x:v>45930</x:v>
      </x:c>
      <x:c r="F5" s="42" t="n">
        <x:v>35000000</x:v>
      </x:c>
      <x:c r="G5" s="42" t="n">
        <x:v>3500000</x:v>
      </x:c>
      <x:c r="H5" s="42" t="n">
        <x:f>F5+G5</x:f>
        <x:v>38500000</x:v>
      </x:c>
      <x:c r="I5" s="42" t="n">
        <x:f>SUMIF('08_수금내역'!$C$5:$C$9,A5,'08_수금내역'!$D$5:$D$9)</x:f>
        <x:v>20000000</x:v>
      </x:c>
      <x:c r="J5" s="42" t="n">
        <x:f>H5-I5</x:f>
        <x:v>18500000</x:v>
      </x:c>
      <x:c r="K5" s="24" t="n">
        <x:f>MAX(0,$N$2-E5)</x:f>
        <x:v>92</x:v>
      </x:c>
      <x:c r="L5" s="24" t="str">
        <x:f>IF(J5&lt;=0,"수금완료",IF(K5=0,"정상",IF(K5&lt;=30,"1~30일",IF(K5&lt;=60,"31~60일",IF(K5&lt;=90,"61~90일","90일 초과")))))</x:f>
        <x:v>90일 초과</x:v>
      </x:c>
      <x:c r="M5" s="24" t="str">
        <x:v>TAX_S-250820-01.xml</x:v>
      </x:c>
    </x:row>
    <x:row r="6" ht="23" customHeight="1">
      <x:c r="A6" s="26" t="str">
        <x:v>S-250915-02</x:v>
      </x:c>
      <x:c r="B6" s="26" t="str">
        <x:v>C002</x:v>
      </x:c>
      <x:c r="C6" s="26" t="str">
        <x:v>거래처 B</x:v>
      </x:c>
      <x:c r="D6" s="39" t="n">
        <x:v>45915</x:v>
      </x:c>
      <x:c r="E6" s="39" t="n">
        <x:v>45961</x:v>
      </x:c>
      <x:c r="F6" s="43" t="n">
        <x:v>48000000</x:v>
      </x:c>
      <x:c r="G6" s="43" t="n">
        <x:v>4800000</x:v>
      </x:c>
      <x:c r="H6" s="43" t="n">
        <x:f>F6+G6</x:f>
        <x:v>52800000</x:v>
      </x:c>
      <x:c r="I6" s="43" t="n">
        <x:f>SUMIF('08_수금내역'!$C$5:$C$9,A6,'08_수금내역'!$D$5:$D$9)</x:f>
        <x:v>33000000</x:v>
      </x:c>
      <x:c r="J6" s="43" t="n">
        <x:f>H6-I6</x:f>
        <x:v>19800000</x:v>
      </x:c>
      <x:c r="K6" s="26" t="n">
        <x:f>MAX(0,$N$2-E6)</x:f>
        <x:v>61</x:v>
      </x:c>
      <x:c r="L6" s="26" t="str">
        <x:f>IF(J6&lt;=0,"수금완료",IF(K6=0,"정상",IF(K6&lt;=30,"1~30일",IF(K6&lt;=60,"31~60일",IF(K6&lt;=90,"61~90일","90일 초과")))))</x:f>
        <x:v>61~90일</x:v>
      </x:c>
      <x:c r="M6" s="26" t="str">
        <x:v>TAX_S-250915-02.xml</x:v>
      </x:c>
    </x:row>
    <x:row r="7" ht="23" customHeight="1">
      <x:c r="A7" s="24" t="str">
        <x:v>S-251025-03</x:v>
      </x:c>
      <x:c r="B7" s="24" t="str">
        <x:v>C003</x:v>
      </x:c>
      <x:c r="C7" s="24" t="str">
        <x:v>거래처 C</x:v>
      </x:c>
      <x:c r="D7" s="38" t="n">
        <x:v>45955</x:v>
      </x:c>
      <x:c r="E7" s="38" t="n">
        <x:v>45991</x:v>
      </x:c>
      <x:c r="F7" s="42" t="n">
        <x:v>29000000</x:v>
      </x:c>
      <x:c r="G7" s="42" t="n">
        <x:v>2900000</x:v>
      </x:c>
      <x:c r="H7" s="42" t="n">
        <x:f>F7+G7</x:f>
        <x:v>31900000</x:v>
      </x:c>
      <x:c r="I7" s="42" t="n">
        <x:f>SUMIF('08_수금내역'!$C$5:$C$9,A7,'08_수금내역'!$D$5:$D$9)</x:f>
        <x:v>10000000</x:v>
      </x:c>
      <x:c r="J7" s="42" t="n">
        <x:f>H7-I7</x:f>
        <x:v>21900000</x:v>
      </x:c>
      <x:c r="K7" s="24" t="n">
        <x:f>MAX(0,$N$2-E7)</x:f>
        <x:v>31</x:v>
      </x:c>
      <x:c r="L7" s="24" t="str">
        <x:f>IF(J7&lt;=0,"수금완료",IF(K7=0,"정상",IF(K7&lt;=30,"1~30일",IF(K7&lt;=60,"31~60일",IF(K7&lt;=90,"61~90일","90일 초과")))))</x:f>
        <x:v>31~60일</x:v>
      </x:c>
      <x:c r="M7" s="24" t="str">
        <x:v>TAX_S-251025-03.xml</x:v>
      </x:c>
    </x:row>
    <x:row r="8" ht="23" customHeight="1">
      <x:c r="A8" s="26" t="str">
        <x:v>S-251109-04</x:v>
      </x:c>
      <x:c r="B8" s="26" t="str">
        <x:v>C001</x:v>
      </x:c>
      <x:c r="C8" s="26" t="str">
        <x:v>거래처 A</x:v>
      </x:c>
      <x:c r="D8" s="39" t="n">
        <x:v>45970</x:v>
      </x:c>
      <x:c r="E8" s="39" t="n">
        <x:v>45996</x:v>
      </x:c>
      <x:c r="F8" s="43" t="n">
        <x:v>65000000</x:v>
      </x:c>
      <x:c r="G8" s="43" t="n">
        <x:v>6500000</x:v>
      </x:c>
      <x:c r="H8" s="43" t="n">
        <x:f>F8+G8</x:f>
        <x:v>71500000</x:v>
      </x:c>
      <x:c r="I8" s="43" t="n">
        <x:f>SUMIF('08_수금내역'!$C$5:$C$9,A8,'08_수금내역'!$D$5:$D$9)</x:f>
        <x:v>30000000</x:v>
      </x:c>
      <x:c r="J8" s="43" t="n">
        <x:f>H8-I8</x:f>
        <x:v>41500000</x:v>
      </x:c>
      <x:c r="K8" s="26" t="n">
        <x:f>MAX(0,$N$2-E8)</x:f>
        <x:v>26</x:v>
      </x:c>
      <x:c r="L8" s="26" t="str">
        <x:f>IF(J8&lt;=0,"수금완료",IF(K8=0,"정상",IF(K8&lt;=30,"1~30일",IF(K8&lt;=60,"31~60일",IF(K8&lt;=90,"61~90일","90일 초과")))))</x:f>
        <x:v>1~30일</x:v>
      </x:c>
      <x:c r="M8" s="26" t="str">
        <x:v>TAX_S-251109-04.xml</x:v>
      </x:c>
    </x:row>
    <x:row r="9" ht="23" customHeight="1">
      <x:c r="A9" s="24" t="str">
        <x:v>S-251129-05</x:v>
      </x:c>
      <x:c r="B9" s="24" t="str">
        <x:v>C004</x:v>
      </x:c>
      <x:c r="C9" s="24" t="str">
        <x:v>거래처 D</x:v>
      </x:c>
      <x:c r="D9" s="38" t="n">
        <x:v>45990</x:v>
      </x:c>
      <x:c r="E9" s="38" t="n">
        <x:v>46020</x:v>
      </x:c>
      <x:c r="F9" s="42" t="n">
        <x:v>25000000</x:v>
      </x:c>
      <x:c r="G9" s="42" t="n">
        <x:v>2500000</x:v>
      </x:c>
      <x:c r="H9" s="42" t="n">
        <x:f>F9+G9</x:f>
        <x:v>27500000</x:v>
      </x:c>
      <x:c r="I9" s="42" t="n">
        <x:f>SUMIF('08_수금내역'!$C$5:$C$9,A9,'08_수금내역'!$D$5:$D$9)</x:f>
        <x:v>0</x:v>
      </x:c>
      <x:c r="J9" s="42" t="n">
        <x:f>H9-I9</x:f>
        <x:v>27500000</x:v>
      </x:c>
      <x:c r="K9" s="24" t="n">
        <x:f>MAX(0,$N$2-E9)</x:f>
        <x:v>2</x:v>
      </x:c>
      <x:c r="L9" s="24" t="str">
        <x:f>IF(J9&lt;=0,"수금완료",IF(K9=0,"정상",IF(K9&lt;=30,"1~30일",IF(K9&lt;=60,"31~60일",IF(K9&lt;=90,"61~90일","90일 초과")))))</x:f>
        <x:v>1~30일</x:v>
      </x:c>
      <x:c r="M9" s="24" t="str">
        <x:v>TAX_S-251129-05.xml</x:v>
      </x:c>
    </x:row>
    <x:row r="10" ht="23" customHeight="1">
      <x:c r="A10" s="26" t="str">
        <x:v>S-251210-06</x:v>
      </x:c>
      <x:c r="B10" s="26" t="str">
        <x:v>C005</x:v>
      </x:c>
      <x:c r="C10" s="26" t="str">
        <x:v>거래처 E</x:v>
      </x:c>
      <x:c r="D10" s="39" t="n">
        <x:v>46001</x:v>
      </x:c>
      <x:c r="E10" s="39" t="n">
        <x:v>46032</x:v>
      </x:c>
      <x:c r="F10" s="43" t="n">
        <x:v>73000000</x:v>
      </x:c>
      <x:c r="G10" s="43" t="n">
        <x:v>7300000</x:v>
      </x:c>
      <x:c r="H10" s="43" t="n">
        <x:f>F10+G10</x:f>
        <x:v>80300000</x:v>
      </x:c>
      <x:c r="I10" s="43" t="n">
        <x:f>SUMIF('08_수금내역'!$C$5:$C$9,A10,'08_수금내역'!$D$5:$D$9)</x:f>
        <x:v>15000000</x:v>
      </x:c>
      <x:c r="J10" s="43" t="n">
        <x:f>H10-I10</x:f>
        <x:v>65300000</x:v>
      </x:c>
      <x:c r="K10" s="26" t="n">
        <x:f>MAX(0,$N$2-E10)</x:f>
        <x:v>0</x:v>
      </x:c>
      <x:c r="L10" s="26" t="str">
        <x:f>IF(J10&lt;=0,"수금완료",IF(K10=0,"정상",IF(K10&lt;=30,"1~30일",IF(K10&lt;=60,"31~60일",IF(K10&lt;=90,"61~90일","90일 초과")))))</x:f>
        <x:v>정상</x:v>
      </x:c>
      <x:c r="M10" s="26" t="str">
        <x:v>TAX_S-251210-06.xml</x:v>
      </x:c>
    </x:row>
    <x:row r="11" ht="23" customHeight="1">
      <x:c r="A11" s="24" t="str">
        <x:v>S-251221-07</x:v>
      </x:c>
      <x:c r="B11" s="24" t="str">
        <x:v>C002</x:v>
      </x:c>
      <x:c r="C11" s="24" t="str">
        <x:v>거래처 B</x:v>
      </x:c>
      <x:c r="D11" s="38" t="n">
        <x:v>46012</x:v>
      </x:c>
      <x:c r="E11" s="38" t="n">
        <x:v>46042</x:v>
      </x:c>
      <x:c r="F11" s="42" t="n">
        <x:v>41000000</x:v>
      </x:c>
      <x:c r="G11" s="42" t="n">
        <x:v>4100000</x:v>
      </x:c>
      <x:c r="H11" s="42" t="n">
        <x:f>F11+G11</x:f>
        <x:v>45100000</x:v>
      </x:c>
      <x:c r="I11" s="42" t="n">
        <x:f>SUMIF('08_수금내역'!$C$5:$C$9,A11,'08_수금내역'!$D$5:$D$9)</x:f>
        <x:v>0</x:v>
      </x:c>
      <x:c r="J11" s="42" t="n">
        <x:f>H11-I11</x:f>
        <x:v>45100000</x:v>
      </x:c>
      <x:c r="K11" s="24" t="n">
        <x:f>MAX(0,$N$2-E11)</x:f>
        <x:v>0</x:v>
      </x:c>
      <x:c r="L11" s="24" t="str">
        <x:f>IF(J11&lt;=0,"수금완료",IF(K11=0,"정상",IF(K11&lt;=30,"1~30일",IF(K11&lt;=60,"31~60일",IF(K11&lt;=90,"61~90일","90일 초과")))))</x:f>
        <x:v>정상</x:v>
      </x:c>
      <x:c r="M11" s="24" t="str">
        <x:v>TAX_S-251221-07.xml</x:v>
      </x:c>
    </x:row>
    <x:row r="12" ht="23" customHeight="1">
      <x:c r="A12" s="26" t="str">
        <x:v>S-251228-08</x:v>
      </x:c>
      <x:c r="B12" s="26" t="str">
        <x:v>C006</x:v>
      </x:c>
      <x:c r="C12" s="26" t="str">
        <x:v>거래처 F</x:v>
      </x:c>
      <x:c r="D12" s="39" t="n">
        <x:v>46019</x:v>
      </x:c>
      <x:c r="E12" s="39" t="n">
        <x:v>46068</x:v>
      </x:c>
      <x:c r="F12" s="43" t="n">
        <x:v>18000000</x:v>
      </x:c>
      <x:c r="G12" s="43" t="n">
        <x:v>1800000</x:v>
      </x:c>
      <x:c r="H12" s="43" t="n">
        <x:f>F12+G12</x:f>
        <x:v>19800000</x:v>
      </x:c>
      <x:c r="I12" s="43" t="n">
        <x:f>SUMIF('08_수금내역'!$C$5:$C$9,A12,'08_수금내역'!$D$5:$D$9)</x:f>
        <x:v>0</x:v>
      </x:c>
      <x:c r="J12" s="43" t="n">
        <x:f>H12-I12</x:f>
        <x:v>19800000</x:v>
      </x:c>
      <x:c r="K12" s="26" t="n">
        <x:f>MAX(0,$N$2-E12)</x:f>
        <x:v>0</x:v>
      </x:c>
      <x:c r="L12" s="26" t="str">
        <x:f>IF(J12&lt;=0,"수금완료",IF(K12=0,"정상",IF(K12&lt;=30,"1~30일",IF(K12&lt;=60,"31~60일",IF(K12&lt;=90,"61~90일","90일 초과")))))</x:f>
        <x:v>정상</x:v>
      </x:c>
      <x:c r="M12" s="26" t="str">
        <x:v>TAX_S-251228-08.xml</x:v>
      </x:c>
    </x:row>
    <x:row r="13" ht="23" customHeight="1">
      <x:c r="A13" s="24" t="str">
        <x:v>S-251230-09</x:v>
      </x:c>
      <x:c r="B13" s="24" t="str">
        <x:v>C003</x:v>
      </x:c>
      <x:c r="C13" s="24" t="str">
        <x:v>거래처 C</x:v>
      </x:c>
      <x:c r="D13" s="38" t="n">
        <x:v>46021</x:v>
      </x:c>
      <x:c r="E13" s="38" t="n">
        <x:v>46053</x:v>
      </x:c>
      <x:c r="F13" s="42" t="n">
        <x:v>44000000</x:v>
      </x:c>
      <x:c r="G13" s="42" t="n">
        <x:v>4400000</x:v>
      </x:c>
      <x:c r="H13" s="42" t="n">
        <x:f>F13+G13</x:f>
        <x:v>48400000</x:v>
      </x:c>
      <x:c r="I13" s="42" t="n">
        <x:f>SUMIF('08_수금내역'!$C$5:$C$9,A13,'08_수금내역'!$D$5:$D$9)</x:f>
        <x:v>0</x:v>
      </x:c>
      <x:c r="J13" s="42" t="n">
        <x:f>H13-I13</x:f>
        <x:v>48400000</x:v>
      </x:c>
      <x:c r="K13" s="24" t="n">
        <x:f>MAX(0,$N$2-E13)</x:f>
        <x:v>0</x:v>
      </x:c>
      <x:c r="L13" s="24" t="str">
        <x:f>IF(J13&lt;=0,"수금완료",IF(K13=0,"정상",IF(K13&lt;=30,"1~30일",IF(K13&lt;=60,"31~60일",IF(K13&lt;=90,"61~90일","90일 초과")))))</x:f>
        <x:v>정상</x:v>
      </x:c>
      <x:c r="M13" s="24" t="str">
        <x:v>TAX_S-251230-09.xml</x:v>
      </x:c>
    </x:row>
    <x:row r="14" ht="29" customHeight="1">
      <x:c r="A14" s="47" t="str">
        <x:v>명세 합계</x:v>
      </x:c>
      <x:c r="B14" s="47"/>
      <x:c r="C14" s="47"/>
      <x:c r="D14" s="47"/>
      <x:c r="E14" s="47"/>
      <x:c r="F14" s="50" t="n">
        <x:f>SUM(F5:F13)</x:f>
        <x:v>378000000</x:v>
      </x:c>
      <x:c r="G14" s="50" t="n">
        <x:f>SUM(G5:G13)</x:f>
        <x:v>37800000</x:v>
      </x:c>
      <x:c r="H14" s="50" t="n">
        <x:f>SUM(H5:H13)</x:f>
        <x:v>415800000</x:v>
      </x:c>
      <x:c r="I14" s="50" t="n">
        <x:f>SUM(I5:I13)</x:f>
        <x:v>108000000</x:v>
      </x:c>
      <x:c r="J14" s="50" t="n">
        <x:f>SUM(J5:J13)</x:f>
        <x:v>307800000</x:v>
      </x:c>
      <x:c r="K14" s="47"/>
      <x:c r="L14" s="47"/>
      <x:c r="M14" s="47"/>
    </x:row>
    <x:row r="16">
      <x:c r="A16" t="str">
        <x:v>시산표(TB) 대비 차이</x:v>
      </x:c>
      <x:c r="J16" s="52" t="n">
        <x:f>J14-'03_시산표'!H6</x:f>
        <x:v>0</x:v>
      </x:c>
      <x:c r="L16" t="str">
        <x:v>0이면 잔액 대사 일치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8" hidden="0" customWidth="1"/>
    <x:col min="4" max="4" width="17" hidden="0" customWidth="1"/>
    <x:col min="5" max="5" width="17" hidden="0" customWidth="1"/>
    <x:col min="6" max="6" width="22" hidden="0" customWidth="1"/>
    <x:col min="7" max="7" width="20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20" hidden="0" customWidth="1"/>
    <x:col min="13" max="13" width="36" hidden="0" customWidth="1"/>
  </x:cols>
  <x:sheetData>
    <x:row r="1" ht="34" customHeight="1">
      <x:c r="A1" s="4" t="str">
        <x:v>AR Aging | 매출채권 명세 v2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57" t="str">
        <x:v>기말 기준일</x:v>
      </x:c>
    </x:row>
    <x:row r="2" ht="26" customHeight="1">
      <x:c r="A2" s="10" t="str">
        <x:v>매출문서별 미수금·만기연령 분석 · 회사가 추출해 회계사에게 제공하는 보조명세 형태 · v2는 수정본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62" t="n">
        <x:v>46022</x:v>
      </x:c>
    </x:row>
    <x:row r="4" ht="30" customHeight="1">
      <x:c r="A4" s="17" t="str">
        <x:v>매출문서번호</x:v>
      </x:c>
      <x:c r="B4" s="17" t="str">
        <x:v>거래처코드</x:v>
      </x:c>
      <x:c r="C4" s="17" t="str">
        <x:v>거래처명</x:v>
      </x:c>
      <x:c r="D4" s="17" t="str">
        <x:v>발행일</x:v>
      </x:c>
      <x:c r="E4" s="17" t="str">
        <x:v>지급기한</x:v>
      </x:c>
      <x:c r="F4" s="17" t="str">
        <x:v>공급가액</x:v>
      </x:c>
      <x:c r="G4" s="17" t="str">
        <x:v>부가세</x:v>
      </x:c>
      <x:c r="H4" s="17" t="str">
        <x:v>청구합계</x:v>
      </x:c>
      <x:c r="I4" s="17" t="str">
        <x:v>누적수금</x:v>
      </x:c>
      <x:c r="J4" s="17" t="str">
        <x:v>기말미수금</x:v>
      </x:c>
      <x:c r="K4" s="17" t="str">
        <x:v>경과일</x:v>
      </x:c>
      <x:c r="L4" s="17" t="str">
        <x:v>연령구간</x:v>
      </x:c>
      <x:c r="M4" s="17" t="str">
        <x:v>증빙 파일</x:v>
      </x:c>
    </x:row>
    <x:row r="5" ht="23" customHeight="1">
      <x:c r="A5" s="24" t="str">
        <x:v>S-250820-01</x:v>
      </x:c>
      <x:c r="B5" s="24" t="str">
        <x:v>C001</x:v>
      </x:c>
      <x:c r="C5" s="24" t="str">
        <x:v>거래처 A</x:v>
      </x:c>
      <x:c r="D5" s="38" t="n">
        <x:v>45889</x:v>
      </x:c>
      <x:c r="E5" s="38" t="n">
        <x:v>45930</x:v>
      </x:c>
      <x:c r="F5" s="42" t="n">
        <x:v>35000000</x:v>
      </x:c>
      <x:c r="G5" s="42" t="n">
        <x:v>3500000</x:v>
      </x:c>
      <x:c r="H5" s="42" t="n">
        <x:f>F5+G5</x:f>
        <x:v>38500000</x:v>
      </x:c>
      <x:c r="I5" s="42" t="n">
        <x:f>SUMIF('08_수금내역'!$C$5:$C$9,A5,'08_수금내역'!$D$5:$D$9)</x:f>
        <x:v>20000000</x:v>
      </x:c>
      <x:c r="J5" s="42" t="n">
        <x:f>H5-I5</x:f>
        <x:v>18500000</x:v>
      </x:c>
      <x:c r="K5" s="24" t="n">
        <x:f>MAX(0,$N$2-E5)</x:f>
        <x:v>92</x:v>
      </x:c>
      <x:c r="L5" s="24" t="str">
        <x:f>IF(J5&lt;=0,"수금완료",IF(K5=0,"정상",IF(K5&lt;=30,"1~30일",IF(K5&lt;=60,"31~60일",IF(K5&lt;=90,"61~90일","90일 초과")))))</x:f>
        <x:v>90일 초과</x:v>
      </x:c>
      <x:c r="M5" s="24" t="str">
        <x:v>TAX_S-250820-01.xml</x:v>
      </x:c>
    </x:row>
    <x:row r="6" ht="23" customHeight="1">
      <x:c r="A6" s="26" t="str">
        <x:v>S-250915-02</x:v>
      </x:c>
      <x:c r="B6" s="26" t="str">
        <x:v>C002</x:v>
      </x:c>
      <x:c r="C6" s="26" t="str">
        <x:v>거래처 B</x:v>
      </x:c>
      <x:c r="D6" s="39" t="n">
        <x:v>45915</x:v>
      </x:c>
      <x:c r="E6" s="39" t="n">
        <x:v>45961</x:v>
      </x:c>
      <x:c r="F6" s="43" t="n">
        <x:v>48000000</x:v>
      </x:c>
      <x:c r="G6" s="43" t="n">
        <x:v>4800000</x:v>
      </x:c>
      <x:c r="H6" s="43" t="n">
        <x:f>F6+G6</x:f>
        <x:v>52800000</x:v>
      </x:c>
      <x:c r="I6" s="43" t="n">
        <x:f>SUMIF('08_수금내역'!$C$5:$C$9,A6,'08_수금내역'!$D$5:$D$9)</x:f>
        <x:v>33000000</x:v>
      </x:c>
      <x:c r="J6" s="43" t="n">
        <x:f>H6-I6</x:f>
        <x:v>19800000</x:v>
      </x:c>
      <x:c r="K6" s="26" t="n">
        <x:f>MAX(0,$N$2-E6)</x:f>
        <x:v>61</x:v>
      </x:c>
      <x:c r="L6" s="26" t="str">
        <x:f>IF(J6&lt;=0,"수금완료",IF(K6=0,"정상",IF(K6&lt;=30,"1~30일",IF(K6&lt;=60,"31~60일",IF(K6&lt;=90,"61~90일","90일 초과")))))</x:f>
        <x:v>61~90일</x:v>
      </x:c>
      <x:c r="M6" s="26" t="str">
        <x:v>TAX_S-250915-02.xml</x:v>
      </x:c>
    </x:row>
    <x:row r="7" ht="23" customHeight="1">
      <x:c r="A7" s="24" t="str">
        <x:v>S-251025-03</x:v>
      </x:c>
      <x:c r="B7" s="24" t="str">
        <x:v>C003</x:v>
      </x:c>
      <x:c r="C7" s="24" t="str">
        <x:v>거래처 C</x:v>
      </x:c>
      <x:c r="D7" s="38" t="n">
        <x:v>45955</x:v>
      </x:c>
      <x:c r="E7" s="38" t="n">
        <x:v>45991</x:v>
      </x:c>
      <x:c r="F7" s="42" t="n">
        <x:v>29000000</x:v>
      </x:c>
      <x:c r="G7" s="42" t="n">
        <x:v>2900000</x:v>
      </x:c>
      <x:c r="H7" s="42" t="n">
        <x:f>F7+G7</x:f>
        <x:v>31900000</x:v>
      </x:c>
      <x:c r="I7" s="42" t="n">
        <x:f>SUMIF('08_수금내역'!$C$5:$C$9,A7,'08_수금내역'!$D$5:$D$9)</x:f>
        <x:v>10000000</x:v>
      </x:c>
      <x:c r="J7" s="42" t="n">
        <x:f>H7-I7</x:f>
        <x:v>21900000</x:v>
      </x:c>
      <x:c r="K7" s="24" t="n">
        <x:f>MAX(0,$N$2-E7)</x:f>
        <x:v>31</x:v>
      </x:c>
      <x:c r="L7" s="24" t="str">
        <x:f>IF(J7&lt;=0,"수금완료",IF(K7=0,"정상",IF(K7&lt;=30,"1~30일",IF(K7&lt;=60,"31~60일",IF(K7&lt;=90,"61~90일","90일 초과")))))</x:f>
        <x:v>31~60일</x:v>
      </x:c>
      <x:c r="M7" s="24" t="str">
        <x:v>TAX_S-251025-03.xml</x:v>
      </x:c>
    </x:row>
    <x:row r="8" ht="23" customHeight="1">
      <x:c r="A8" s="64" t="str">
        <x:v>S-251109-04</x:v>
      </x:c>
      <x:c r="B8" s="64" t="str">
        <x:v>C001</x:v>
      </x:c>
      <x:c r="C8" s="64" t="str">
        <x:v>거래처 A</x:v>
      </x:c>
      <x:c r="D8" s="65" t="n">
        <x:v>45970</x:v>
      </x:c>
      <x:c r="E8" s="65" t="n">
        <x:v>46037</x:v>
      </x:c>
      <x:c r="F8" s="66" t="n">
        <x:v>65000000</x:v>
      </x:c>
      <x:c r="G8" s="66" t="n">
        <x:v>6500000</x:v>
      </x:c>
      <x:c r="H8" s="66" t="n">
        <x:f>F8+G8</x:f>
        <x:v>71500000</x:v>
      </x:c>
      <x:c r="I8" s="66" t="n">
        <x:f>SUMIF('08_수금내역'!$C$5:$C$9,A8,'08_수금내역'!$D$5:$D$9)</x:f>
        <x:v>30000000</x:v>
      </x:c>
      <x:c r="J8" s="66" t="n">
        <x:f>H8-I8</x:f>
        <x:v>41500000</x:v>
      </x:c>
      <x:c r="K8" s="64" t="n">
        <x:f>MAX(0,$N$2-E8)</x:f>
        <x:v>0</x:v>
      </x:c>
      <x:c r="L8" s="64" t="str">
        <x:f>IF(J8&lt;=0,"수금완료",IF(K8=0,"정상",IF(K8&lt;=30,"1~30일",IF(K8&lt;=60,"31~60일",IF(K8&lt;=90,"61~90일","90일 초과")))))</x:f>
        <x:v>정상</x:v>
      </x:c>
      <x:c r="M8" s="64" t="str">
        <x:v>TAX_S-251109-04.xml</x:v>
      </x:c>
    </x:row>
    <x:row r="9" ht="23" customHeight="1">
      <x:c r="A9" s="24" t="str">
        <x:v>S-251129-05</x:v>
      </x:c>
      <x:c r="B9" s="24" t="str">
        <x:v>C004</x:v>
      </x:c>
      <x:c r="C9" s="24" t="str">
        <x:v>거래처 D</x:v>
      </x:c>
      <x:c r="D9" s="38" t="n">
        <x:v>45990</x:v>
      </x:c>
      <x:c r="E9" s="38" t="n">
        <x:v>46020</x:v>
      </x:c>
      <x:c r="F9" s="42" t="n">
        <x:v>25000000</x:v>
      </x:c>
      <x:c r="G9" s="42" t="n">
        <x:v>2500000</x:v>
      </x:c>
      <x:c r="H9" s="42" t="n">
        <x:f>F9+G9</x:f>
        <x:v>27500000</x:v>
      </x:c>
      <x:c r="I9" s="42" t="n">
        <x:f>SUMIF('08_수금내역'!$C$5:$C$9,A9,'08_수금내역'!$D$5:$D$9)</x:f>
        <x:v>0</x:v>
      </x:c>
      <x:c r="J9" s="42" t="n">
        <x:f>H9-I9</x:f>
        <x:v>27500000</x:v>
      </x:c>
      <x:c r="K9" s="24" t="n">
        <x:f>MAX(0,$N$2-E9)</x:f>
        <x:v>2</x:v>
      </x:c>
      <x:c r="L9" s="24" t="str">
        <x:f>IF(J9&lt;=0,"수금완료",IF(K9=0,"정상",IF(K9&lt;=30,"1~30일",IF(K9&lt;=60,"31~60일",IF(K9&lt;=90,"61~90일","90일 초과")))))</x:f>
        <x:v>1~30일</x:v>
      </x:c>
      <x:c r="M9" s="24" t="str">
        <x:v>TAX_S-251129-05.xml</x:v>
      </x:c>
    </x:row>
    <x:row r="10" ht="23" customHeight="1">
      <x:c r="A10" s="26" t="str">
        <x:v>S-251210-06</x:v>
      </x:c>
      <x:c r="B10" s="26" t="str">
        <x:v>C005</x:v>
      </x:c>
      <x:c r="C10" s="26" t="str">
        <x:v>거래처 E</x:v>
      </x:c>
      <x:c r="D10" s="39" t="n">
        <x:v>46001</x:v>
      </x:c>
      <x:c r="E10" s="39" t="n">
        <x:v>46032</x:v>
      </x:c>
      <x:c r="F10" s="43" t="n">
        <x:v>73000000</x:v>
      </x:c>
      <x:c r="G10" s="43" t="n">
        <x:v>7300000</x:v>
      </x:c>
      <x:c r="H10" s="43" t="n">
        <x:f>F10+G10</x:f>
        <x:v>80300000</x:v>
      </x:c>
      <x:c r="I10" s="43" t="n">
        <x:f>SUMIF('08_수금내역'!$C$5:$C$9,A10,'08_수금내역'!$D$5:$D$9)</x:f>
        <x:v>15000000</x:v>
      </x:c>
      <x:c r="J10" s="43" t="n">
        <x:f>H10-I10</x:f>
        <x:v>65300000</x:v>
      </x:c>
      <x:c r="K10" s="26" t="n">
        <x:f>MAX(0,$N$2-E10)</x:f>
        <x:v>0</x:v>
      </x:c>
      <x:c r="L10" s="26" t="str">
        <x:f>IF(J10&lt;=0,"수금완료",IF(K10=0,"정상",IF(K10&lt;=30,"1~30일",IF(K10&lt;=60,"31~60일",IF(K10&lt;=90,"61~90일","90일 초과")))))</x:f>
        <x:v>정상</x:v>
      </x:c>
      <x:c r="M10" s="26" t="str">
        <x:v>TAX_S-251210-06.xml</x:v>
      </x:c>
    </x:row>
    <x:row r="11" ht="23" customHeight="1">
      <x:c r="A11" s="64" t="str">
        <x:v>S-251221-07</x:v>
      </x:c>
      <x:c r="B11" s="64" t="str">
        <x:v>C002</x:v>
      </x:c>
      <x:c r="C11" s="64" t="str">
        <x:v>거래처 B</x:v>
      </x:c>
      <x:c r="D11" s="65" t="n">
        <x:v>46012</x:v>
      </x:c>
      <x:c r="E11" s="65" t="n">
        <x:v>46042</x:v>
      </x:c>
      <x:c r="F11" s="66" t="n">
        <x:v>45000000</x:v>
      </x:c>
      <x:c r="G11" s="66" t="n">
        <x:v>4500000</x:v>
      </x:c>
      <x:c r="H11" s="66" t="n">
        <x:f>F11+G11</x:f>
        <x:v>49500000</x:v>
      </x:c>
      <x:c r="I11" s="66" t="n">
        <x:f>SUMIF('08_수금내역'!$C$5:$C$9,A11,'08_수금내역'!$D$5:$D$9)</x:f>
        <x:v>0</x:v>
      </x:c>
      <x:c r="J11" s="66" t="n">
        <x:f>H11-I11</x:f>
        <x:v>49500000</x:v>
      </x:c>
      <x:c r="K11" s="64" t="n">
        <x:f>MAX(0,$N$2-E11)</x:f>
        <x:v>0</x:v>
      </x:c>
      <x:c r="L11" s="64" t="str">
        <x:f>IF(J11&lt;=0,"수금완료",IF(K11=0,"정상",IF(K11&lt;=30,"1~30일",IF(K11&lt;=60,"31~60일",IF(K11&lt;=90,"61~90일","90일 초과")))))</x:f>
        <x:v>정상</x:v>
      </x:c>
      <x:c r="M11" s="64" t="str">
        <x:v>TAX_S-251221-07.xml</x:v>
      </x:c>
    </x:row>
    <x:row r="12" ht="23" customHeight="1">
      <x:c r="A12" s="26" t="str">
        <x:v>S-251228-08</x:v>
      </x:c>
      <x:c r="B12" s="26" t="str">
        <x:v>C006</x:v>
      </x:c>
      <x:c r="C12" s="26" t="str">
        <x:v>거래처 F</x:v>
      </x:c>
      <x:c r="D12" s="39" t="n">
        <x:v>46019</x:v>
      </x:c>
      <x:c r="E12" s="39" t="n">
        <x:v>46068</x:v>
      </x:c>
      <x:c r="F12" s="43" t="n">
        <x:v>18000000</x:v>
      </x:c>
      <x:c r="G12" s="43" t="n">
        <x:v>1800000</x:v>
      </x:c>
      <x:c r="H12" s="43" t="n">
        <x:f>F12+G12</x:f>
        <x:v>19800000</x:v>
      </x:c>
      <x:c r="I12" s="43" t="n">
        <x:f>SUMIF('08_수금내역'!$C$5:$C$9,A12,'08_수금내역'!$D$5:$D$9)</x:f>
        <x:v>0</x:v>
      </x:c>
      <x:c r="J12" s="43" t="n">
        <x:f>H12-I12</x:f>
        <x:v>19800000</x:v>
      </x:c>
      <x:c r="K12" s="26" t="n">
        <x:f>MAX(0,$N$2-E12)</x:f>
        <x:v>0</x:v>
      </x:c>
      <x:c r="L12" s="26" t="str">
        <x:f>IF(J12&lt;=0,"수금완료",IF(K12=0,"정상",IF(K12&lt;=30,"1~30일",IF(K12&lt;=60,"31~60일",IF(K12&lt;=90,"61~90일","90일 초과")))))</x:f>
        <x:v>정상</x:v>
      </x:c>
      <x:c r="M12" s="26" t="str">
        <x:v>TAX_S-251228-08.xml</x:v>
      </x:c>
    </x:row>
    <x:row r="13" ht="23" customHeight="1">
      <x:c r="A13" s="24" t="str">
        <x:v>S-251230-09</x:v>
      </x:c>
      <x:c r="B13" s="24" t="str">
        <x:v>C003</x:v>
      </x:c>
      <x:c r="C13" s="24" t="str">
        <x:v>거래처 C</x:v>
      </x:c>
      <x:c r="D13" s="38" t="n">
        <x:v>46021</x:v>
      </x:c>
      <x:c r="E13" s="38" t="n">
        <x:v>46053</x:v>
      </x:c>
      <x:c r="F13" s="42" t="n">
        <x:v>44000000</x:v>
      </x:c>
      <x:c r="G13" s="42" t="n">
        <x:v>4400000</x:v>
      </x:c>
      <x:c r="H13" s="42" t="n">
        <x:f>F13+G13</x:f>
        <x:v>48400000</x:v>
      </x:c>
      <x:c r="I13" s="42" t="n">
        <x:f>SUMIF('08_수금내역'!$C$5:$C$9,A13,'08_수금내역'!$D$5:$D$9)</x:f>
        <x:v>0</x:v>
      </x:c>
      <x:c r="J13" s="42" t="n">
        <x:f>H13-I13</x:f>
        <x:v>48400000</x:v>
      </x:c>
      <x:c r="K13" s="24" t="n">
        <x:f>MAX(0,$N$2-E13)</x:f>
        <x:v>0</x:v>
      </x:c>
      <x:c r="L13" s="24" t="str">
        <x:f>IF(J13&lt;=0,"수금완료",IF(K13=0,"정상",IF(K13&lt;=30,"1~30일",IF(K13&lt;=60,"31~60일",IF(K13&lt;=90,"61~90일","90일 초과")))))</x:f>
        <x:v>정상</x:v>
      </x:c>
      <x:c r="M13" s="24" t="str">
        <x:v>TAX_S-251230-09.xml</x:v>
      </x:c>
    </x:row>
    <x:row r="14" ht="29" customHeight="1">
      <x:c r="A14" s="47" t="str">
        <x:v>명세 합계</x:v>
      </x:c>
      <x:c r="B14" s="47"/>
      <x:c r="C14" s="47"/>
      <x:c r="D14" s="47"/>
      <x:c r="E14" s="47"/>
      <x:c r="F14" s="50" t="n">
        <x:f>SUM(F5:F13)</x:f>
        <x:v>382000000</x:v>
      </x:c>
      <x:c r="G14" s="50" t="n">
        <x:f>SUM(G5:G13)</x:f>
        <x:v>38200000</x:v>
      </x:c>
      <x:c r="H14" s="50" t="n">
        <x:f>SUM(H5:H13)</x:f>
        <x:v>420200000</x:v>
      </x:c>
      <x:c r="I14" s="50" t="n">
        <x:f>SUM(I5:I13)</x:f>
        <x:v>108000000</x:v>
      </x:c>
      <x:c r="J14" s="50" t="n">
        <x:f>SUM(J5:J13)</x:f>
        <x:v>312200000</x:v>
      </x:c>
      <x:c r="K14" s="47"/>
      <x:c r="L14" s="47"/>
      <x:c r="M14" s="47"/>
    </x:row>
    <x:row r="16">
      <x:c r="A16" t="str">
        <x:v>시산표(TB) 대비 차이</x:v>
      </x:c>
      <x:c r="J16" s="52" t="n">
        <x:f>J14-'03_시산표'!H6</x:f>
        <x:v>4400000</x:v>
      </x:c>
      <x:c r="L16" t="str">
        <x:v>0이면 잔액 대사 일치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7" hidden="0" customWidth="1"/>
    <x:col min="5" max="5" width="22" hidden="0" customWidth="1"/>
    <x:col min="6" max="6" width="19" hidden="0" customWidth="1"/>
    <x:col min="7" max="7" width="22" hidden="0" customWidth="1"/>
    <x:col min="8" max="8" width="36" hidden="0" customWidth="1"/>
    <x:col min="9" max="9" width="31" hidden="0" customWidth="1"/>
    <x:col min="10" max="10" width="50" hidden="0" customWidth="1"/>
  </x:cols>
  <x:sheetData>
    <x:row r="1" ht="35" customHeight="1">
      <x:c r="A1" s="4" t="str">
        <x:v>매출증빙 | 세금계산서·납품증빙 목록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0" t="str">
        <x:v>정식 XML/PDF 원문을 대신하는 색인 예시 · 본 파일에는 실제 발행된 전자세금계산서가 포함되지 않음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17" t="str">
        <x:v>매출문서번호</x:v>
      </x:c>
      <x:c r="B4" s="17" t="str">
        <x:v>거래처코드</x:v>
      </x:c>
      <x:c r="C4" s="17" t="str">
        <x:v>거래처명</x:v>
      </x:c>
      <x:c r="D4" s="17" t="str">
        <x:v>발행일</x:v>
      </x:c>
      <x:c r="E4" s="17" t="str">
        <x:v>공급가액</x:v>
      </x:c>
      <x:c r="F4" s="17" t="str">
        <x:v>부가세</x:v>
      </x:c>
      <x:c r="G4" s="17" t="str">
        <x:v>합계금액</x:v>
      </x:c>
      <x:c r="H4" s="17" t="str">
        <x:v>세금계산서 식별자</x:v>
      </x:c>
      <x:c r="I4" s="17" t="str">
        <x:v>납품확인서</x:v>
      </x:c>
      <x:c r="J4" s="17" t="str">
        <x:v>비고</x:v>
      </x:c>
    </x:row>
    <x:row r="5" ht="23" customHeight="1">
      <x:c r="A5" s="24" t="str">
        <x:v>S-250820-01</x:v>
      </x:c>
      <x:c r="B5" s="24" t="str">
        <x:v>C001</x:v>
      </x:c>
      <x:c r="C5" s="24" t="str">
        <x:v>거래처 A</x:v>
      </x:c>
      <x:c r="D5" s="38" t="n">
        <x:v>45889</x:v>
      </x:c>
      <x:c r="E5" s="42" t="n">
        <x:v>35000000</x:v>
      </x:c>
      <x:c r="F5" s="42" t="n">
        <x:v>3500000</x:v>
      </x:c>
      <x:c r="G5" s="42" t="n">
        <x:f>E5+F5</x:f>
        <x:v>38500000</x:v>
      </x:c>
      <x:c r="H5" s="24" t="str">
        <x:v>ETAX-S-250820-01</x:v>
      </x:c>
      <x:c r="I5" s="24" t="str">
        <x:v>DELIVERY_S-250820-01.pdf</x:v>
      </x:c>
      <x:c r="J5" s="24" t="str">
        <x:v>v1 기준 증빙 목록, S-251221-07 수정 증빙 미반영</x:v>
      </x:c>
    </x:row>
    <x:row r="6" ht="23" customHeight="1">
      <x:c r="A6" s="26" t="str">
        <x:v>S-250915-02</x:v>
      </x:c>
      <x:c r="B6" s="26" t="str">
        <x:v>C002</x:v>
      </x:c>
      <x:c r="C6" s="26" t="str">
        <x:v>거래처 B</x:v>
      </x:c>
      <x:c r="D6" s="39" t="n">
        <x:v>45915</x:v>
      </x:c>
      <x:c r="E6" s="43" t="n">
        <x:v>48000000</x:v>
      </x:c>
      <x:c r="F6" s="43" t="n">
        <x:v>4800000</x:v>
      </x:c>
      <x:c r="G6" s="43" t="n">
        <x:f>E6+F6</x:f>
        <x:v>52800000</x:v>
      </x:c>
      <x:c r="H6" s="26" t="str">
        <x:v>ETAX-S-250915-02</x:v>
      </x:c>
      <x:c r="I6" s="26" t="str">
        <x:v>DELIVERY_S-250915-02.pdf</x:v>
      </x:c>
      <x:c r="J6" s="26" t="str">
        <x:v>v1 기준 증빙 목록, S-251221-07 수정 증빙 미반영</x:v>
      </x:c>
    </x:row>
    <x:row r="7" ht="23" customHeight="1">
      <x:c r="A7" s="24" t="str">
        <x:v>S-251025-03</x:v>
      </x:c>
      <x:c r="B7" s="24" t="str">
        <x:v>C003</x:v>
      </x:c>
      <x:c r="C7" s="24" t="str">
        <x:v>거래처 C</x:v>
      </x:c>
      <x:c r="D7" s="38" t="n">
        <x:v>45955</x:v>
      </x:c>
      <x:c r="E7" s="42" t="n">
        <x:v>29000000</x:v>
      </x:c>
      <x:c r="F7" s="42" t="n">
        <x:v>2900000</x:v>
      </x:c>
      <x:c r="G7" s="42" t="n">
        <x:f>E7+F7</x:f>
        <x:v>31900000</x:v>
      </x:c>
      <x:c r="H7" s="24" t="str">
        <x:v>ETAX-S-251025-03</x:v>
      </x:c>
      <x:c r="I7" s="24" t="str">
        <x:v>DELIVERY_S-251025-03.pdf</x:v>
      </x:c>
      <x:c r="J7" s="24" t="str">
        <x:v>v1 기준 증빙 목록, S-251221-07 수정 증빙 미반영</x:v>
      </x:c>
    </x:row>
    <x:row r="8" ht="23" customHeight="1">
      <x:c r="A8" s="26" t="str">
        <x:v>S-251109-04</x:v>
      </x:c>
      <x:c r="B8" s="26" t="str">
        <x:v>C001</x:v>
      </x:c>
      <x:c r="C8" s="26" t="str">
        <x:v>거래처 A</x:v>
      </x:c>
      <x:c r="D8" s="39" t="n">
        <x:v>45970</x:v>
      </x:c>
      <x:c r="E8" s="43" t="n">
        <x:v>65000000</x:v>
      </x:c>
      <x:c r="F8" s="43" t="n">
        <x:v>6500000</x:v>
      </x:c>
      <x:c r="G8" s="43" t="n">
        <x:f>E8+F8</x:f>
        <x:v>71500000</x:v>
      </x:c>
      <x:c r="H8" s="26" t="str">
        <x:v>ETAX-S-251109-04</x:v>
      </x:c>
      <x:c r="I8" s="26" t="str">
        <x:v>DELIVERY_S-251109-04.pdf</x:v>
      </x:c>
      <x:c r="J8" s="26" t="str">
        <x:v>v1 기준 증빙 목록, S-251221-07 수정 증빙 미반영</x:v>
      </x:c>
    </x:row>
    <x:row r="9" ht="23" customHeight="1">
      <x:c r="A9" s="24" t="str">
        <x:v>S-251129-05</x:v>
      </x:c>
      <x:c r="B9" s="24" t="str">
        <x:v>C004</x:v>
      </x:c>
      <x:c r="C9" s="24" t="str">
        <x:v>거래처 D</x:v>
      </x:c>
      <x:c r="D9" s="38" t="n">
        <x:v>45990</x:v>
      </x:c>
      <x:c r="E9" s="42" t="n">
        <x:v>25000000</x:v>
      </x:c>
      <x:c r="F9" s="42" t="n">
        <x:v>2500000</x:v>
      </x:c>
      <x:c r="G9" s="42" t="n">
        <x:f>E9+F9</x:f>
        <x:v>27500000</x:v>
      </x:c>
      <x:c r="H9" s="24" t="str">
        <x:v>ETAX-S-251129-05</x:v>
      </x:c>
      <x:c r="I9" s="24" t="str">
        <x:v>DELIVERY_S-251129-05.pdf</x:v>
      </x:c>
      <x:c r="J9" s="24" t="str">
        <x:v>v1 기준 증빙 목록, S-251221-07 수정 증빙 미반영</x:v>
      </x:c>
    </x:row>
    <x:row r="10" ht="23" customHeight="1">
      <x:c r="A10" s="26" t="str">
        <x:v>S-251210-06</x:v>
      </x:c>
      <x:c r="B10" s="26" t="str">
        <x:v>C005</x:v>
      </x:c>
      <x:c r="C10" s="26" t="str">
        <x:v>거래처 E</x:v>
      </x:c>
      <x:c r="D10" s="39" t="n">
        <x:v>46001</x:v>
      </x:c>
      <x:c r="E10" s="43" t="n">
        <x:v>73000000</x:v>
      </x:c>
      <x:c r="F10" s="43" t="n">
        <x:v>7300000</x:v>
      </x:c>
      <x:c r="G10" s="43" t="n">
        <x:f>E10+F10</x:f>
        <x:v>80300000</x:v>
      </x:c>
      <x:c r="H10" s="26" t="str">
        <x:v>ETAX-S-251210-06</x:v>
      </x:c>
      <x:c r="I10" s="26" t="str">
        <x:v>DELIVERY_S-251210-06.pdf</x:v>
      </x:c>
      <x:c r="J10" s="26" t="str">
        <x:v>v1 기준 증빙 목록, S-251221-07 수정 증빙 미반영</x:v>
      </x:c>
    </x:row>
    <x:row r="11" ht="23" customHeight="1">
      <x:c r="A11" s="24" t="str">
        <x:v>S-251221-07</x:v>
      </x:c>
      <x:c r="B11" s="24" t="str">
        <x:v>C002</x:v>
      </x:c>
      <x:c r="C11" s="24" t="str">
        <x:v>거래처 B</x:v>
      </x:c>
      <x:c r="D11" s="38" t="n">
        <x:v>46012</x:v>
      </x:c>
      <x:c r="E11" s="42" t="n">
        <x:v>41000000</x:v>
      </x:c>
      <x:c r="F11" s="42" t="n">
        <x:v>4100000</x:v>
      </x:c>
      <x:c r="G11" s="42" t="n">
        <x:f>E11+F11</x:f>
        <x:v>45100000</x:v>
      </x:c>
      <x:c r="H11" s="24" t="str">
        <x:v>ETAX-S-251221-07</x:v>
      </x:c>
      <x:c r="I11" s="24" t="str">
        <x:v>DELIVERY_S-251221-07.pdf</x:v>
      </x:c>
      <x:c r="J11" s="24" t="str">
        <x:v>v1 기준 증빙 목록, S-251221-07 수정 증빙 미반영</x:v>
      </x:c>
    </x:row>
    <x:row r="12" ht="23" customHeight="1">
      <x:c r="A12" s="26" t="str">
        <x:v>S-251228-08</x:v>
      </x:c>
      <x:c r="B12" s="26" t="str">
        <x:v>C006</x:v>
      </x:c>
      <x:c r="C12" s="26" t="str">
        <x:v>거래처 F</x:v>
      </x:c>
      <x:c r="D12" s="39" t="n">
        <x:v>46019</x:v>
      </x:c>
      <x:c r="E12" s="43" t="n">
        <x:v>18000000</x:v>
      </x:c>
      <x:c r="F12" s="43" t="n">
        <x:v>1800000</x:v>
      </x:c>
      <x:c r="G12" s="43" t="n">
        <x:f>E12+F12</x:f>
        <x:v>19800000</x:v>
      </x:c>
      <x:c r="H12" s="26" t="str">
        <x:v>ETAX-S-251228-08</x:v>
      </x:c>
      <x:c r="I12" s="26" t="str">
        <x:v>DELIVERY_S-251228-08.pdf</x:v>
      </x:c>
      <x:c r="J12" s="26" t="str">
        <x:v>v1 기준 증빙 목록, S-251221-07 수정 증빙 미반영</x:v>
      </x:c>
    </x:row>
    <x:row r="13" ht="23" customHeight="1">
      <x:c r="A13" s="24" t="str">
        <x:v>S-251230-09</x:v>
      </x:c>
      <x:c r="B13" s="24" t="str">
        <x:v>C003</x:v>
      </x:c>
      <x:c r="C13" s="24" t="str">
        <x:v>거래처 C</x:v>
      </x:c>
      <x:c r="D13" s="38" t="n">
        <x:v>46021</x:v>
      </x:c>
      <x:c r="E13" s="42" t="n">
        <x:v>44000000</x:v>
      </x:c>
      <x:c r="F13" s="42" t="n">
        <x:v>4400000</x:v>
      </x:c>
      <x:c r="G13" s="42" t="n">
        <x:f>E13+F13</x:f>
        <x:v>48400000</x:v>
      </x:c>
      <x:c r="H13" s="24" t="str">
        <x:v>ETAX-S-251230-09</x:v>
      </x:c>
      <x:c r="I13" s="24" t="str">
        <x:v>DELIVERY_S-251230-09.pdf</x:v>
      </x:c>
      <x:c r="J13" s="24" t="str">
        <x:v>v1 기준 증빙 목록, S-251221-07 수정 증빙 미반영</x:v>
      </x:c>
    </x:row>
    <x:row r="14" ht="29" customHeight="1">
      <x:c r="A14" s="47"/>
      <x:c r="B14" s="47"/>
      <x:c r="C14" s="47"/>
      <x:c r="D14" s="47" t="str">
        <x:v>합계</x:v>
      </x:c>
      <x:c r="E14" s="50" t="n">
        <x:f>SUM(E5:E13)</x:f>
        <x:v>378000000</x:v>
      </x:c>
      <x:c r="F14" s="50" t="n">
        <x:f>SUM(F5:F13)</x:f>
        <x:v>37800000</x:v>
      </x:c>
      <x:c r="G14" s="50" t="n">
        <x:f>SUM(G5:G13)</x:f>
        <x:v>415800000</x:v>
      </x:c>
      <x:c r="H14" s="47"/>
      <x:c r="I14" s="47"/>
      <x:c r="J14" s="47"/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5" hidden="0" customWidth="1"/>
    <x:col min="4" max="4" width="22" hidden="0" customWidth="1"/>
    <x:col min="5" max="5" width="22" hidden="0" customWidth="1"/>
    <x:col min="6" max="6" width="33" hidden="0" customWidth="1"/>
    <x:col min="7" max="7" width="45" hidden="0" customWidth="1"/>
  </x:cols>
  <x:sheetData>
    <x:row r="1" ht="35" customHeight="1">
      <x:c r="A1" s="4" t="str">
        <x:v>수금내역 | 매출채권 회수 명세</x:v>
      </x:c>
      <x:c r="B1" s="4"/>
      <x:c r="C1" s="4"/>
      <x:c r="D1" s="4"/>
      <x:c r="E1" s="4"/>
      <x:c r="F1" s="4"/>
      <x:c r="G1" s="4"/>
    </x:row>
    <x:row r="2" ht="26" customHeight="1">
      <x:c r="A2" s="10" t="str">
        <x:v>기업 자금팀이 제출한 수금명세 (샘플). 금융기관 원본 거래내역 PDF는 별도 증빙으로 가정</x:v>
      </x:c>
      <x:c r="B2" s="10"/>
      <x:c r="C2" s="10"/>
      <x:c r="D2" s="10"/>
      <x:c r="E2" s="10"/>
      <x:c r="F2" s="10"/>
      <x:c r="G2" s="10"/>
    </x:row>
    <x:row r="4" ht="30" customHeight="1">
      <x:c r="A4" s="17" t="str">
        <x:v>수금번호</x:v>
      </x:c>
      <x:c r="B4" s="17" t="str">
        <x:v>수금일</x:v>
      </x:c>
      <x:c r="C4" s="17" t="str">
        <x:v>매출문서번호</x:v>
      </x:c>
      <x:c r="D4" s="17" t="str">
        <x:v>수금액(원)</x:v>
      </x:c>
      <x:c r="E4" s="17" t="str">
        <x:v>입금 계좌</x:v>
      </x:c>
      <x:c r="F4" s="17" t="str">
        <x:v>은행 거래증빙</x:v>
      </x:c>
      <x:c r="G4" s="17" t="str">
        <x:v>메모</x:v>
      </x:c>
    </x:row>
    <x:row r="5" ht="23" customHeight="1">
      <x:c r="A5" s="24" t="str">
        <x:v>R-251031-01</x:v>
      </x:c>
      <x:c r="B5" s="38" t="n">
        <x:v>45961</x:v>
      </x:c>
      <x:c r="C5" s="24" t="str">
        <x:v>S-250820-01</x:v>
      </x:c>
      <x:c r="D5" s="42" t="n">
        <x:v>20000000</x:v>
      </x:c>
      <x:c r="E5" s="24" t="str">
        <x:v>보통예금</x:v>
      </x:c>
      <x:c r="F5" s="24" t="str">
        <x:v>BANK-1031-01.pdf</x:v>
      </x:c>
      <x:c r="G5" s="24" t="str">
        <x:v>해당 매출채권 수금</x:v>
      </x:c>
    </x:row>
    <x:row r="6" ht="23" customHeight="1">
      <x:c r="A6" s="26" t="str">
        <x:v>R-251109-02</x:v>
      </x:c>
      <x:c r="B6" s="39" t="n">
        <x:v>45970</x:v>
      </x:c>
      <x:c r="C6" s="26" t="str">
        <x:v>S-250915-02</x:v>
      </x:c>
      <x:c r="D6" s="43" t="n">
        <x:v>33000000</x:v>
      </x:c>
      <x:c r="E6" s="26" t="str">
        <x:v>보통예금</x:v>
      </x:c>
      <x:c r="F6" s="26" t="str">
        <x:v>BANK-1109-02.pdf</x:v>
      </x:c>
      <x:c r="G6" s="26" t="str">
        <x:v>해당 매출채권 수금</x:v>
      </x:c>
    </x:row>
    <x:row r="7" ht="23" customHeight="1">
      <x:c r="A7" s="24" t="str">
        <x:v>R-251121-03</x:v>
      </x:c>
      <x:c r="B7" s="38" t="n">
        <x:v>45982</x:v>
      </x:c>
      <x:c r="C7" s="24" t="str">
        <x:v>S-251025-03</x:v>
      </x:c>
      <x:c r="D7" s="42" t="n">
        <x:v>10000000</x:v>
      </x:c>
      <x:c r="E7" s="24" t="str">
        <x:v>보통예금</x:v>
      </x:c>
      <x:c r="F7" s="24" t="str">
        <x:v>BANK-1121-03.pdf</x:v>
      </x:c>
      <x:c r="G7" s="24" t="str">
        <x:v>해당 매출채권 수금</x:v>
      </x:c>
    </x:row>
    <x:row r="8" ht="23" customHeight="1">
      <x:c r="A8" s="26" t="str">
        <x:v>R-251215-04</x:v>
      </x:c>
      <x:c r="B8" s="39" t="n">
        <x:v>46006</x:v>
      </x:c>
      <x:c r="C8" s="26" t="str">
        <x:v>S-251109-04</x:v>
      </x:c>
      <x:c r="D8" s="43" t="n">
        <x:v>30000000</x:v>
      </x:c>
      <x:c r="E8" s="26" t="str">
        <x:v>보통예금</x:v>
      </x:c>
      <x:c r="F8" s="26" t="str">
        <x:v>BANK-1215-04.pdf</x:v>
      </x:c>
      <x:c r="G8" s="26" t="str">
        <x:v>해당 매출채권 수금</x:v>
      </x:c>
    </x:row>
    <x:row r="9" ht="23" customHeight="1">
      <x:c r="A9" s="24" t="str">
        <x:v>R-251229-05</x:v>
      </x:c>
      <x:c r="B9" s="38" t="n">
        <x:v>46020</x:v>
      </x:c>
      <x:c r="C9" s="24" t="str">
        <x:v>S-251210-06</x:v>
      </x:c>
      <x:c r="D9" s="42" t="n">
        <x:v>15000000</x:v>
      </x:c>
      <x:c r="E9" s="24" t="str">
        <x:v>보통예금</x:v>
      </x:c>
      <x:c r="F9" s="24" t="str">
        <x:v>BANK-1229-05.pdf</x:v>
      </x:c>
      <x:c r="G9" s="24" t="str">
        <x:v>해당 매출채권 수금</x:v>
      </x:c>
    </x:row>
    <x:row r="10" ht="29" customHeight="1">
      <x:c r="A10" s="47"/>
      <x:c r="B10" s="47"/>
      <x:c r="C10" s="47" t="str">
        <x:v>총 수금액</x:v>
      </x:c>
      <x:c r="D10" s="50" t="n">
        <x:f>SUM(D5:D9)</x:f>
        <x:v>108000000</x:v>
      </x:c>
      <x:c r="E10" s="47"/>
      <x:c r="F10" s="47"/>
      <x:c r="G10" s="47"/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38" hidden="0" customWidth="1"/>
    <x:col min="4" max="4" width="23" hidden="0" customWidth="1"/>
    <x:col min="5" max="5" width="75" hidden="0" customWidth="1"/>
  </x:cols>
  <x:sheetData>
    <x:row r="1" ht="35" customHeight="1">
      <x:c r="A1" s="4" t="str">
        <x:v>현금및예금 | 은행잔액조정표</x:v>
      </x:c>
      <x:c r="B1" s="4"/>
      <x:c r="C1" s="4"/>
      <x:c r="D1" s="4"/>
      <x:c r="E1" s="4"/>
    </x:row>
    <x:row r="2" ht="26" customHeight="1">
      <x:c r="A2" s="10" t="str">
        <x:v>기말(2025-12-31) 은행 잔액과 GL 보통예금 잔액을 맞추는 회사측 조정명세 예시</x:v>
      </x:c>
      <x:c r="B2" s="10"/>
      <x:c r="C2" s="10"/>
      <x:c r="D2" s="10"/>
      <x:c r="E2" s="10"/>
    </x:row>
    <x:row r="4" ht="30" customHeight="1">
      <x:c r="A4" s="17" t="str">
        <x:v>항목</x:v>
      </x:c>
      <x:c r="B4" s="17" t="str">
        <x:v>근거 구분</x:v>
      </x:c>
      <x:c r="C4" s="17" t="str">
        <x:v>참고 문서</x:v>
      </x:c>
      <x:c r="D4" s="17" t="str">
        <x:v>금액(원)</x:v>
      </x:c>
      <x:c r="E4" s="17" t="str">
        <x:v>감사팀 확인사항</x:v>
      </x:c>
    </x:row>
    <x:row r="5" ht="28" customHeight="1">
      <x:c r="A5" s="24" t="str">
        <x:v>기말 은행거래내역 잔액</x:v>
      </x:c>
      <x:c r="B5" s="24" t="str">
        <x:v>은행잔액증명 / 통장</x:v>
      </x:c>
      <x:c r="C5" s="24" t="str">
        <x:v>은행 명세 PDF (가상)</x:v>
      </x:c>
      <x:c r="D5" s="42" t="n">
        <x:v>310500000</x:v>
      </x:c>
      <x:c r="E5" s="34" t="str">
        <x:v>원본 은행자료와 대조 필요</x:v>
      </x:c>
    </x:row>
    <x:row r="6" ht="28" customHeight="1">
      <x:c r="A6" s="26" t="str">
        <x:v>가산: 미입금예금</x:v>
      </x:c>
      <x:c r="B6" s="26" t="str">
        <x:v>조정항목</x:v>
      </x:c>
      <x:c r="C6" s="26" t="str">
        <x:v>2025-12-31 입금 / 익월 확인</x:v>
      </x:c>
      <x:c r="D6" s="43" t="n">
        <x:v>1500000</x:v>
      </x:c>
      <x:c r="E6" s="35" t="str">
        <x:v>후속기간 실제 입금 여부 확인</x:v>
      </x:c>
    </x:row>
    <x:row r="7" ht="28" customHeight="1">
      <x:c r="A7" s="24" t="str">
        <x:v>차감: 미지급수표</x:v>
      </x:c>
      <x:c r="B7" s="24" t="str">
        <x:v>조정항목</x:v>
      </x:c>
      <x:c r="C7" s="24" t="str">
        <x:v>미결제 지급건</x:v>
      </x:c>
      <x:c r="D7" s="42" t="n">
        <x:v>-500000</x:v>
      </x:c>
      <x:c r="E7" s="34" t="str">
        <x:v>후속기간 실제 인출 여부 확인</x:v>
      </x:c>
    </x:row>
    <x:row r="8" ht="29" customHeight="1">
      <x:c r="A8" s="72" t="str">
        <x:v>조정 후 은행잔액</x:v>
      </x:c>
      <x:c r="B8" s="72" t="str">
        <x:v>자동 계산</x:v>
      </x:c>
      <x:c r="C8" s="72" t="str">
        <x:v>은행 + 가산 + 차감</x:v>
      </x:c>
      <x:c r="D8" s="73" t="n">
        <x:f>SUM(D5:D7)</x:f>
        <x:v>311500000</x:v>
      </x:c>
      <x:c r="E8" s="78" t="str">
        <x:v>장부잔액과의 차액 확인</x:v>
      </x:c>
    </x:row>
    <x:row r="9" ht="28" customHeight="1">
      <x:c r="A9" s="24" t="str">
        <x:v>회사 장부 보통예금 잔액</x:v>
      </x:c>
      <x:c r="B9" s="24" t="str">
        <x:v>시산표 참조</x:v>
      </x:c>
      <x:c r="C9" s="24" t="str">
        <x:v>TB 보통예금</x:v>
      </x:c>
      <x:c r="D9" s="42" t="n">
        <x:f>'03_시산표'!H5</x:f>
        <x:v>311500000</x:v>
      </x:c>
      <x:c r="E9" s="34" t="str">
        <x:v>GL에서 합산된 보통예금 잔액</x:v>
      </x:c>
    </x:row>
    <x:row r="10" ht="28" customHeight="1">
      <x:c r="A10" s="26" t="str">
        <x:v>조정 차이</x:v>
      </x:c>
      <x:c r="B10" s="26" t="str">
        <x:v>자동 계산</x:v>
      </x:c>
      <x:c r="C10" s="26" t="str">
        <x:v>0이면 숫자 대사 일치</x:v>
      </x:c>
      <x:c r="D10" s="43" t="n">
        <x:f>D8-D9</x:f>
        <x:v>0</x:v>
      </x:c>
      <x:c r="E10" s="35" t="str">
        <x:v>은행조회 통제와 독립적인 검증은 별도</x:v>
      </x:c>
    </x:row>
    <x:row r="11" ht="28" customHeight="1">
      <x:c r="A11" s="24" t="str">
        <x:v>참고</x:v>
      </x:c>
      <x:c r="B11" s="24" t="str">
        <x:v>주의</x:v>
      </x:c>
      <x:c r="C11" s="24" t="str">
        <x:v>은행조회 회신은 감사인 통제</x:v>
      </x:c>
      <x:c r="D11" s="24"/>
      <x:c r="E11" s="34" t="str">
        <x:v>이 엑셀만으로 감사증거가 충분하다고 볼 수 없음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38" hidden="0" customWidth="1"/>
    <x:col min="10" max="10" width="36" hidden="0" customWidth="1"/>
  </x:cols>
  <x:sheetData>
    <x:row r="1" ht="35" customHeight="1">
      <x:c r="A1" s="4" t="str">
        <x:v>유형자산 | 취득 및 감가상각 명세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0" t="str">
        <x:v>기계장치 취득원가와 감가상각누계액을 GL/TB와 연결하는 회사 제공 보조명세 예시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17" t="str">
        <x:v>자산번호</x:v>
      </x:c>
      <x:c r="B4" s="17" t="str">
        <x:v>자산명</x:v>
      </x:c>
      <x:c r="C4" s="17" t="str">
        <x:v>취득일</x:v>
      </x:c>
      <x:c r="D4" s="17" t="str">
        <x:v>취득원가</x:v>
      </x:c>
      <x:c r="E4" s="17" t="str">
        <x:v>기초 누계</x:v>
      </x:c>
      <x:c r="F4" s="17" t="str">
        <x:v>당기 상각비</x:v>
      </x:c>
      <x:c r="G4" s="17" t="str">
        <x:v>기말 누계</x:v>
      </x:c>
      <x:c r="H4" s="17" t="str">
        <x:v>기말 장부가액</x:v>
      </x:c>
      <x:c r="I4" s="17" t="str">
        <x:v>증빙파일</x:v>
      </x:c>
      <x:c r="J4" s="17" t="str">
        <x:v>비고</x:v>
      </x:c>
    </x:row>
    <x:row r="5" ht="27" customHeight="1">
      <x:c r="A5" s="24" t="str">
        <x:v>FA-2025-001</x:v>
      </x:c>
      <x:c r="B5" s="24" t="str">
        <x:v>산업용 CNC 설비</x:v>
      </x:c>
      <x:c r="C5" s="38" t="n">
        <x:v>45698</x:v>
      </x:c>
      <x:c r="D5" s="42" t="n">
        <x:v>90000000</x:v>
      </x:c>
      <x:c r="E5" s="42" t="n">
        <x:v>0</x:v>
      </x:c>
      <x:c r="F5" s="42" t="n">
        <x:v>5500000</x:v>
      </x:c>
      <x:c r="G5" s="42" t="n">
        <x:f>E5+F5</x:f>
        <x:v>5500000</x:v>
      </x:c>
      <x:c r="H5" s="42" t="n">
        <x:f>D5-G5</x:f>
        <x:v>84500000</x:v>
      </x:c>
      <x:c r="I5" s="24" t="str">
        <x:v>기계설비_매입세금계산서.pdf</x:v>
      </x:c>
      <x:c r="J5" s="24" t="str">
        <x:v>정액법 등 감가상각 세부 조건은 예시</x:v>
      </x:c>
    </x:row>
    <x:row r="6" ht="27" customHeight="1">
      <x:c r="A6" s="26" t="str">
        <x:v>FA-2025-002</x:v>
      </x:c>
      <x:c r="B6" s="26" t="str">
        <x:v>검사 자동화 설비</x:v>
      </x:c>
      <x:c r="C6" s="39" t="n">
        <x:v>45731</x:v>
      </x:c>
      <x:c r="D6" s="43" t="n">
        <x:v>35000000</x:v>
      </x:c>
      <x:c r="E6" s="43" t="n">
        <x:v>0</x:v>
      </x:c>
      <x:c r="F6" s="43" t="n">
        <x:v>2000000</x:v>
      </x:c>
      <x:c r="G6" s="43" t="n">
        <x:f>E6+F6</x:f>
        <x:v>2000000</x:v>
      </x:c>
      <x:c r="H6" s="43" t="n">
        <x:f>D6-G6</x:f>
        <x:v>33000000</x:v>
      </x:c>
      <x:c r="I6" s="26" t="str">
        <x:v>설비추가_매입세금계산서.pdf</x:v>
      </x:c>
      <x:c r="J6" s="26" t="str">
        <x:v>감가상각비는 임의 가상 수치</x:v>
      </x:c>
    </x:row>
    <x:row r="7" ht="29" customHeight="1">
      <x:c r="A7" s="47"/>
      <x:c r="B7" s="47" t="str">
        <x:v>합계</x:v>
      </x:c>
      <x:c r="C7" s="47"/>
      <x:c r="D7" s="50" t="n">
        <x:f>SUM(D5:D6)</x:f>
        <x:v>125000000</x:v>
      </x:c>
      <x:c r="E7" s="50" t="n">
        <x:f>SUM(E5:E6)</x:f>
        <x:v>0</x:v>
      </x:c>
      <x:c r="F7" s="50" t="n">
        <x:f>SUM(F5:F6)</x:f>
        <x:v>7500000</x:v>
      </x:c>
      <x:c r="G7" s="50" t="n">
        <x:f>SUM(G5:G6)</x:f>
        <x:v>7500000</x:v>
      </x:c>
      <x:c r="H7" s="50" t="n">
        <x:f>SUM(H5:H6)</x:f>
        <x:v>117500000</x:v>
      </x:c>
      <x:c r="I7" s="47"/>
      <x:c r="J7" s="47"/>
    </x:row>
    <x:row r="9">
      <x:c r="B9" t="str">
        <x:v>취득원가와 TB 대사</x:v>
      </x:c>
      <x:c r="H9" s="52" t="n">
        <x:f>D7-'03_시산표'!H9</x:f>
        <x:v>0</x:v>
      </x:c>
    </x:row>
    <x:row r="10">
      <x:c r="B10" t="str">
        <x:v>누계상각과 TB 대사</x:v>
      </x:c>
      <x:c r="H10" s="52" t="n">
        <x:f>G7-'03_시산표'!I10</x:f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39" hidden="0" customWidth="1"/>
    <x:col min="4" max="4" width="25" hidden="0" customWidth="1"/>
    <x:col min="5" max="5" width="25" hidden="0" customWidth="1"/>
    <x:col min="6" max="6" width="32" hidden="0" customWidth="1"/>
    <x:col min="7" max="7" width="20" hidden="0" customWidth="1"/>
    <x:col min="8" max="8" width="18" hidden="0" customWidth="1"/>
    <x:col min="9" max="9" width="30" hidden="0" customWidth="1"/>
  </x:cols>
  <x:sheetData>
    <x:row r="1" ht="35" customHeight="1">
      <x:c r="A1" s="4" t="str">
        <x:v>WP-AR | 매출채권 감사조서 (간략 모형)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10" t="str">
        <x:v>감사인이 작성하는 검토 기록 · 실제 표준 조서가 아닌 교육용 축약 예시 (회계사 판단·승인 필수)</x:v>
      </x:c>
      <x:c r="B2" s="10"/>
      <x:c r="C2" s="10"/>
      <x:c r="D2" s="10"/>
      <x:c r="E2" s="10"/>
      <x:c r="F2" s="10"/>
      <x:c r="G2" s="10"/>
      <x:c r="H2" s="10"/>
      <x:c r="I2" s="10"/>
    </x:row>
    <x:row r="4" ht="30" customHeight="1">
      <x:c r="A4" s="17" t="str">
        <x:v>구분</x:v>
      </x:c>
      <x:c r="B4" s="17" t="str">
        <x:v>금액 / 내용</x:v>
      </x:c>
      <x:c r="C4" s="17" t="str">
        <x:v>비고</x:v>
      </x:c>
      <x:c r="D4" s="17" t="str">
        <x:v>비교 값</x:v>
      </x:c>
      <x:c r="E4" s="17" t="str">
        <x:v>대사 차이</x:v>
      </x:c>
      <x:c r="F4" s="17" t="str">
        <x:v>검토 결과</x:v>
      </x:c>
      <x:c r="G4" s="17" t="str">
        <x:v>담당</x:v>
      </x:c>
      <x:c r="H4" s="17" t="str">
        <x:v>상태</x:v>
      </x:c>
      <x:c r="I4" s="17" t="str">
        <x:v>출처 버전</x:v>
      </x:c>
    </x:row>
    <x:row r="5" ht="29" customHeight="1">
      <x:c r="A5" s="24" t="str">
        <x:v>TB 매출채권 잔액</x:v>
      </x:c>
      <x:c r="B5" s="42" t="n">
        <x:f>'03_시산표'!H6</x:f>
        <x:v>307800000</x:v>
      </x:c>
      <x:c r="C5" s="24" t="str">
        <x:v>03_시산표 계정 1080</x:v>
      </x:c>
      <x:c r="D5" s="24"/>
      <x:c r="E5" s="24"/>
      <x:c r="F5" s="24" t="str">
        <x:v>회사 명세와 대사</x:v>
      </x:c>
      <x:c r="G5" s="24" t="str">
        <x:v>감사 담당 A</x:v>
      </x:c>
      <x:c r="H5" s="24" t="str">
        <x:v>검토완료</x:v>
      </x:c>
      <x:c r="I5" s="24" t="str">
        <x:v>GL/TB-2025-v1</x:v>
      </x:c>
    </x:row>
    <x:row r="6" ht="29" customHeight="1">
      <x:c r="A6" s="26" t="str">
        <x:v>회사 제출 AR 명세 v1</x:v>
      </x:c>
      <x:c r="B6" s="43" t="n">
        <x:f>'05_채권명세_v1'!J14</x:f>
        <x:v>307800000</x:v>
      </x:c>
      <x:c r="C6" s="26" t="str">
        <x:v>05_채권명세_v1의 합계</x:v>
      </x:c>
      <x:c r="D6" s="26"/>
      <x:c r="E6" s="26"/>
      <x:c r="F6" s="26" t="str">
        <x:v>완료 시점의 근거</x:v>
      </x:c>
      <x:c r="G6" s="26" t="str">
        <x:v>감사 담당 A</x:v>
      </x:c>
      <x:c r="H6" s="26" t="str">
        <x:v>검토완료</x:v>
      </x:c>
      <x:c r="I6" s="26" t="str">
        <x:v>AR_Aging_v1</x:v>
      </x:c>
    </x:row>
    <x:row r="7" ht="29" customHeight="1">
      <x:c r="A7" s="24" t="str">
        <x:v>당초 조서 차이</x:v>
      </x:c>
      <x:c r="B7" s="42" t="n">
        <x:f>B6-B5</x:f>
        <x:v>0</x:v>
      </x:c>
      <x:c r="C7" s="24" t="str">
        <x:v>동일 기준일의 차변잔액 비교</x:v>
      </x:c>
      <x:c r="D7" s="24"/>
      <x:c r="E7" s="24"/>
      <x:c r="F7" s="24" t="str">
        <x:v>0이면 숫자 대사 일치</x:v>
      </x:c>
      <x:c r="G7" s="24" t="str">
        <x:v>감사 담당 A</x:v>
      </x:c>
      <x:c r="H7" s="24" t="str">
        <x:v>검토완료</x:v>
      </x:c>
      <x:c r="I7" s="24" t="str">
        <x:v>AR_Aging_v1</x:v>
      </x:c>
    </x:row>
    <x:row r="8" ht="29" customHeight="1">
      <x:c r="A8" s="26" t="str">
        <x:v>회사 수정 AR 명세 v2</x:v>
      </x:c>
      <x:c r="B8" s="43" t="n">
        <x:f>'06_채권명세_v2'!J14</x:f>
        <x:v>312200000</x:v>
      </x:c>
      <x:c r="C8" s="26" t="str">
        <x:v>06_채권명세_v2의 합계</x:v>
      </x:c>
      <x:c r="D8" s="26"/>
      <x:c r="E8" s="26"/>
      <x:c r="F8" s="26" t="str">
        <x:v>신규 제출 자료</x:v>
      </x:c>
      <x:c r="G8" s="26" t="str">
        <x:v>감사 담당 A</x:v>
      </x:c>
      <x:c r="H8" s="26" t="str">
        <x:v>재검토</x:v>
      </x:c>
      <x:c r="I8" s="26" t="str">
        <x:v>AR_Aging_v2</x:v>
      </x:c>
    </x:row>
    <x:row r="9" ht="29" customHeight="1">
      <x:c r="A9" s="24" t="str">
        <x:v>수정본과 TB 차이</x:v>
      </x:c>
      <x:c r="B9" s="42" t="n">
        <x:f>B8-B5</x:f>
        <x:v>4400000</x:v>
      </x:c>
      <x:c r="C9" s="24" t="str">
        <x:v>v2는 GL에 미반영된 변경 가능성</x:v>
      </x:c>
      <x:c r="D9" s="24"/>
      <x:c r="E9" s="24"/>
      <x:c r="F9" s="24" t="str">
        <x:v>이유 규명·재검토 필요</x:v>
      </x:c>
      <x:c r="G9" s="24" t="str">
        <x:v>감사 매니저 B</x:v>
      </x:c>
      <x:c r="H9" s="24" t="str">
        <x:v>열림</x:v>
      </x:c>
      <x:c r="I9" s="24" t="str">
        <x:v>AR_Aging_v2</x:v>
      </x:c>
    </x:row>
    <x:row r="11" ht="30" customHeight="1">
      <x:c r="A11" s="80" t="str">
        <x:v>표본 ID</x:v>
      </x:c>
      <x:c r="B11" s="80" t="str">
        <x:v>매출문서번호</x:v>
      </x:c>
      <x:c r="C11" s="80" t="str">
        <x:v>감사절차(예시)</x:v>
      </x:c>
      <x:c r="D11" s="80" t="str">
        <x:v>v1 기말미수금</x:v>
      </x:c>
      <x:c r="E11" s="80" t="str">
        <x:v>v2 기말미수금</x:v>
      </x:c>
      <x:c r="F11" s="80" t="str">
        <x:v>변경 금액</x:v>
      </x:c>
      <x:c r="G11" s="80" t="str">
        <x:v>조서 참조</x:v>
      </x:c>
      <x:c r="H11" s="80" t="str">
        <x:v>검토 상태</x:v>
      </x:c>
      <x:c r="I11" s="80" t="str">
        <x:v>기본 증빙</x:v>
      </x:c>
    </x:row>
    <x:row r="12" ht="29" customHeight="1">
      <x:c r="A12" s="26" t="str">
        <x:v>SMP-01</x:v>
      </x:c>
      <x:c r="B12" s="26" t="str">
        <x:v>S-250915-02</x:v>
      </x:c>
      <x:c r="C12" s="26" t="str">
        <x:v>세금계산서와 원장 금액 대사</x:v>
      </x:c>
      <x:c r="D12" s="43" t="n">
        <x:f>'05_채권명세_v1'!J6</x:f>
        <x:v>19800000</x:v>
      </x:c>
      <x:c r="E12" s="43" t="n">
        <x:f>'06_채권명세_v2'!J6</x:f>
        <x:v>19800000</x:v>
      </x:c>
      <x:c r="F12" s="43" t="n">
        <x:f>E12-D12</x:f>
        <x:v>0</x:v>
      </x:c>
      <x:c r="G12" s="26" t="str">
        <x:v>WP-AR-02</x:v>
      </x:c>
      <x:c r="H12" s="26" t="str">
        <x:v>완료</x:v>
      </x:c>
      <x:c r="I12" s="26" t="str">
        <x:v>TAX_S-250915-02.xml</x:v>
      </x:c>
    </x:row>
    <x:row r="13" ht="29" customHeight="1">
      <x:c r="A13" s="64" t="str">
        <x:v>SMP-02</x:v>
      </x:c>
      <x:c r="B13" s="64" t="str">
        <x:v>S-251109-04</x:v>
      </x:c>
      <x:c r="C13" s="64" t="str">
        <x:v>기말 미수금 및 연체 구간 검토</x:v>
      </x:c>
      <x:c r="D13" s="66" t="n">
        <x:f>'05_채권명세_v1'!J8</x:f>
        <x:v>41500000</x:v>
      </x:c>
      <x:c r="E13" s="66" t="n">
        <x:f>'06_채권명세_v2'!J8</x:f>
        <x:v>41500000</x:v>
      </x:c>
      <x:c r="F13" s="66" t="n">
        <x:f>E13-D13</x:f>
        <x:v>0</x:v>
      </x:c>
      <x:c r="G13" s="64" t="str">
        <x:v>WP-AR-04</x:v>
      </x:c>
      <x:c r="H13" s="64" t="str">
        <x:v>변경 재검토</x:v>
      </x:c>
      <x:c r="I13" s="64" t="str">
        <x:v>TAX_S-251109-04.xml</x:v>
      </x:c>
    </x:row>
    <x:row r="14" ht="29" customHeight="1">
      <x:c r="A14" s="64" t="str">
        <x:v>SMP-03</x:v>
      </x:c>
      <x:c r="B14" s="64" t="str">
        <x:v>S-251221-07</x:v>
      </x:c>
      <x:c r="C14" s="64" t="str">
        <x:v>세금계산서 및 미수금 대사</x:v>
      </x:c>
      <x:c r="D14" s="66" t="n">
        <x:f>'05_채권명세_v1'!J11</x:f>
        <x:v>45100000</x:v>
      </x:c>
      <x:c r="E14" s="66" t="n">
        <x:f>'06_채권명세_v2'!J11</x:f>
        <x:v>49500000</x:v>
      </x:c>
      <x:c r="F14" s="66" t="n">
        <x:f>E14-D14</x:f>
        <x:v>4400000</x:v>
      </x:c>
      <x:c r="G14" s="64" t="str">
        <x:v>WP-AR-07</x:v>
      </x:c>
      <x:c r="H14" s="64" t="str">
        <x:v>변경 재검토</x:v>
      </x:c>
      <x:c r="I14" s="64" t="str">
        <x:v>TAX_S-251221-07.xml</x:v>
      </x:c>
    </x:row>
    <x:row r="15" ht="29" customHeight="1">
      <x:c r="A15" s="24" t="str">
        <x:v>SMP-04</x:v>
      </x:c>
      <x:c r="B15" s="24" t="str">
        <x:v>S-251230-09</x:v>
      </x:c>
      <x:c r="C15" s="24" t="str">
        <x:v>기말 매출 컷오프 관련 검토</x:v>
      </x:c>
      <x:c r="D15" s="42" t="n">
        <x:f>'05_채권명세_v1'!J13</x:f>
        <x:v>48400000</x:v>
      </x:c>
      <x:c r="E15" s="42" t="n">
        <x:f>'06_채권명세_v2'!J13</x:f>
        <x:v>48400000</x:v>
      </x:c>
      <x:c r="F15" s="42" t="n">
        <x:f>E15-D15</x:f>
        <x:v>0</x:v>
      </x:c>
      <x:c r="G15" s="24" t="str">
        <x:v>WP-AR-09</x:v>
      </x:c>
      <x:c r="H15" s="24" t="str">
        <x:v>완료</x:v>
      </x:c>
      <x:c r="I15" s="24" t="str">
        <x:v>TAX_S-251230-09.xml</x:v>
      </x:c>
    </x:row>
    <x:row r="17" ht="31" customHeight="1">
      <x:c r="A17" s="83" t="str">
        <x:v>주의: 표본 선정·위험평가·계정별 감사절차·수정사항 수용 여부는 회계사 전문적 판단으로 수행합니다.</x:v>
      </x:c>
      <x:c r="B17" s="83"/>
      <x:c r="C17" s="83"/>
      <x:c r="D17" s="83"/>
      <x:c r="E17" s="83"/>
      <x:c r="F17" s="83"/>
      <x:c r="G17" s="83"/>
      <x:c r="H17" s="83"/>
      <x:c r="I17" s="83"/>
    </x:row>
  </x:sheetData>
  <x:mergeCells>
    <x:mergeCell ref="A1:I1"/>
    <x:mergeCell ref="A2:I2"/>
    <x:mergeCell ref="A17:I1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3" hidden="0" customWidth="1"/>
    <x:col min="5" max="5" width="23" hidden="0" customWidth="1"/>
    <x:col min="6" max="6" width="25" hidden="0" customWidth="1"/>
    <x:col min="7" max="7" width="31" hidden="0" customWidth="1"/>
    <x:col min="8" max="8" width="22" hidden="0" customWidth="1"/>
    <x:col min="9" max="9" width="58" hidden="0" customWidth="1"/>
  </x:cols>
  <x:sheetData>
    <x:row r="1" ht="35" customHeight="1">
      <x:c r="A1" s="4" t="str">
        <x:v>Audit Proof 데모 | 변경 영향 검출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10" t="str">
        <x:v>v1→v2 파일 변경 후 무엇을 다시 확인해야 하는가? · 수치 대사와 참조관계가 확인된 항목만 자동 판단한다는 가정</x:v>
      </x:c>
      <x:c r="B2" s="10"/>
      <x:c r="C2" s="10"/>
      <x:c r="D2" s="10"/>
      <x:c r="E2" s="10"/>
      <x:c r="F2" s="10"/>
      <x:c r="G2" s="10"/>
      <x:c r="H2" s="10"/>
      <x:c r="I2" s="10"/>
    </x:row>
    <x:row r="4" ht="30" customHeight="1">
      <x:c r="A4" s="17" t="str">
        <x:v>이벤트</x:v>
      </x:c>
      <x:c r="B4" s="17" t="str">
        <x:v>대상·키</x:v>
      </x:c>
      <x:c r="C4" s="17" t="str">
        <x:v>변경 항목</x:v>
      </x:c>
      <x:c r="D4" s="17" t="str">
        <x:v>v1 원값</x:v>
      </x:c>
      <x:c r="E4" s="17" t="str">
        <x:v>v2 값</x:v>
      </x:c>
      <x:c r="F4" s="17" t="str">
        <x:v>변경/차이</x:v>
      </x:c>
      <x:c r="G4" s="17" t="str">
        <x:v>관련 감사업무</x:v>
      </x:c>
      <x:c r="H4" s="17" t="str">
        <x:v>상태</x:v>
      </x:c>
      <x:c r="I4" s="17" t="str">
        <x:v>담당/액션</x:v>
      </x:c>
    </x:row>
    <x:row r="5" ht="35" customHeight="1">
      <x:c r="A5" s="24" t="str">
        <x:v>IMP-001</x:v>
      </x:c>
      <x:c r="B5" s="24" t="str">
        <x:v>S-251221-07</x:v>
      </x:c>
      <x:c r="C5" s="24" t="str">
        <x:v>기말 미수금</x:v>
      </x:c>
      <x:c r="D5" s="42" t="n">
        <x:f>'05_채권명세_v1'!J11</x:f>
        <x:v>45100000</x:v>
      </x:c>
      <x:c r="E5" s="42" t="n">
        <x:f>'06_채권명세_v2'!J11</x:f>
        <x:v>49500000</x:v>
      </x:c>
      <x:c r="F5" s="42" t="n">
        <x:f>E5-D5</x:f>
        <x:v>4400000</x:v>
      </x:c>
      <x:c r="G5" s="24" t="str">
        <x:v>WP-AR-07</x:v>
      </x:c>
      <x:c r="H5" s="24" t="str">
        <x:v>재검토</x:v>
      </x:c>
      <x:c r="I5" s="34" t="str">
        <x:v>매출채권 표본·세금계산서 원본 금액 재확인</x:v>
      </x:c>
    </x:row>
    <x:row r="6" ht="35" customHeight="1">
      <x:c r="A6" s="26" t="str">
        <x:v>IMP-002</x:v>
      </x:c>
      <x:c r="B6" s="26" t="str">
        <x:v>S-251109-04</x:v>
      </x:c>
      <x:c r="C6" s="26" t="str">
        <x:v>지급기한</x:v>
      </x:c>
      <x:c r="D6" s="39" t="n">
        <x:f>'05_채권명세_v1'!E8</x:f>
        <x:v>45996</x:v>
      </x:c>
      <x:c r="E6" s="39" t="n">
        <x:f>'06_채권명세_v2'!E8</x:f>
        <x:v>46037</x:v>
      </x:c>
      <x:c r="F6" s="26" t="str">
        <x:v>연체구간 영향</x:v>
      </x:c>
      <x:c r="G6" s="26" t="str">
        <x:v>WP-AR-04</x:v>
      </x:c>
      <x:c r="H6" s="26" t="str">
        <x:v>재검토</x:v>
      </x:c>
      <x:c r="I6" s="35" t="str">
        <x:v>연체일 기준 및 회수 가능성 관련 기존 판단 검토</x:v>
      </x:c>
    </x:row>
    <x:row r="7" ht="35" customHeight="1">
      <x:c r="A7" s="24" t="str">
        <x:v>IMP-003</x:v>
      </x:c>
      <x:c r="B7" s="24" t="str">
        <x:v>전체 AR 명세</x:v>
      </x:c>
      <x:c r="C7" s="24" t="str">
        <x:v>시산표 대사</x:v>
      </x:c>
      <x:c r="D7" s="42" t="n">
        <x:f>'05_채권명세_v1'!J14</x:f>
        <x:v>307800000</x:v>
      </x:c>
      <x:c r="E7" s="42" t="n">
        <x:f>'06_채권명세_v2'!J14</x:f>
        <x:v>312200000</x:v>
      </x:c>
      <x:c r="F7" s="42" t="n">
        <x:f>E7-D7</x:f>
        <x:v>4400000</x:v>
      </x:c>
      <x:c r="G7" s="24" t="str">
        <x:v>WP-AR 총괄</x:v>
      </x:c>
      <x:c r="H7" s="24" t="str">
        <x:v>불일치</x:v>
      </x:c>
      <x:c r="I7" s="34" t="str">
        <x:v>v2와 GL/TB 불일치 사유 및 수정분개 여부 확인</x:v>
      </x:c>
    </x:row>
    <x:row r="8" ht="35" customHeight="1">
      <x:c r="A8" s="26" t="str">
        <x:v>IMP-004</x:v>
      </x:c>
      <x:c r="B8" s="26" t="str">
        <x:v>S-251221-07</x:v>
      </x:c>
      <x:c r="C8" s="26" t="str">
        <x:v>증빙 금액 대사</x:v>
      </x:c>
      <x:c r="D8" s="43" t="n">
        <x:f>'07_매출증빙'!G11</x:f>
        <x:v>45100000</x:v>
      </x:c>
      <x:c r="E8" s="43" t="n">
        <x:f>'06_채권명세_v2'!H11</x:f>
        <x:v>49500000</x:v>
      </x:c>
      <x:c r="F8" s="43" t="n">
        <x:f>E8-D8</x:f>
        <x:v>4400000</x:v>
      </x:c>
      <x:c r="G8" s="26" t="str">
        <x:v>WP-AR-07</x:v>
      </x:c>
      <x:c r="H8" s="26" t="str">
        <x:v>불일치</x:v>
      </x:c>
      <x:c r="I8" s="35" t="str">
        <x:v>수정 세금계산서 발행·전표 반영 여부 확인</x:v>
      </x:c>
    </x:row>
    <x:row r="10">
      <x:c r="A10" s="28" t="str">
        <x:v>이 샘플에서 의도한 문제</x:v>
      </x:c>
    </x:row>
    <x:row r="11" ht="25" customHeight="1">
      <x:c r="A11" s="86" t="str">
        <x:v>① 거래 S-251221-07 공급가액 +4,000,000원(부가세 포함 미수금 +4,400,000원) 수정, 하지만 GL·세금계산서 색인은 v1 상태</x:v>
      </x:c>
      <x:c r="B11" s="86"/>
      <x:c r="C11" s="86"/>
      <x:c r="D11" s="86"/>
      <x:c r="E11" s="86"/>
      <x:c r="F11" s="86"/>
      <x:c r="G11" s="86"/>
      <x:c r="H11" s="86"/>
      <x:c r="I11" s="86"/>
    </x:row>
    <x:row r="12" ht="25" customHeight="1">
      <x:c r="A12" s="86" t="str">
        <x:v>② 거래 S-251109-04의 지급기한 2025-12-05 → 2026-01-15 변경: 잔액은 같아도 연체 구간이 달라짐</x:v>
      </x:c>
      <x:c r="B12" s="86"/>
      <x:c r="C12" s="86"/>
      <x:c r="D12" s="86"/>
      <x:c r="E12" s="86"/>
      <x:c r="F12" s="86"/>
      <x:c r="G12" s="86"/>
      <x:c r="H12" s="86"/>
      <x:c r="I12" s="86"/>
    </x:row>
    <x:row r="13" ht="25" customHeight="1">
      <x:c r="A13" s="86" t="str">
        <x:v>③ 회계사가 이미 작성한 WP-AR-04·07의 검토 결과는 기존 자료 기준이므로 재확인 판단 필요</x:v>
      </x:c>
      <x:c r="B13" s="86"/>
      <x:c r="C13" s="86"/>
      <x:c r="D13" s="86"/>
      <x:c r="E13" s="86"/>
      <x:c r="F13" s="86"/>
      <x:c r="G13" s="86"/>
      <x:c r="H13" s="86"/>
      <x:c r="I13" s="86"/>
    </x:row>
  </x:sheetData>
  <x:mergeCells>
    <x:mergeCell ref="A1:I1"/>
    <x:mergeCell ref="A2:I2"/>
    <x:mergeCell ref="A11:I11"/>
    <x:mergeCell ref="A12:I12"/>
    <x:mergeCell ref="A13:I1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9" hidden="0" customWidth="1"/>
    <x:col min="3" max="3" width="52" hidden="0" customWidth="1"/>
    <x:col min="4" max="4" width="92" hidden="0" customWidth="1"/>
    <x:col min="5" max="5" width="58" hidden="0" customWidth="1"/>
  </x:cols>
  <x:sheetData>
    <x:row r="1" ht="35" customHeight="1">
      <x:c r="A1" s="4" t="str">
        <x:v>참고 출처 | 실제 파일 유형 근거</x:v>
      </x:c>
      <x:c r="B1" s="4"/>
      <x:c r="C1" s="4"/>
      <x:c r="D1" s="4"/>
      <x:c r="E1" s="4"/>
    </x:row>
    <x:row r="2" ht="26" customHeight="1">
      <x:c r="A2" s="10" t="str">
        <x:v>이 문서는 공개 감사준비 목록과 교육용 예시의 구조를 참고해 새로 만든 샘플이며, 실제 기업·회계법인의 원본 파일은 아닙니다.</x:v>
      </x:c>
      <x:c r="B2" s="10"/>
      <x:c r="C2" s="10"/>
      <x:c r="D2" s="10"/>
      <x:c r="E2" s="10"/>
    </x:row>
    <x:row r="4" ht="30" customHeight="1">
      <x:c r="A4" s="17" t="str">
        <x:v>출처 구분</x:v>
      </x:c>
      <x:c r="B4" s="17" t="str">
        <x:v>발행처</x:v>
      </x:c>
      <x:c r="C4" s="17" t="str">
        <x:v>설명</x:v>
      </x:c>
      <x:c r="D4" s="17" t="str">
        <x:v>공개 URL</x:v>
      </x:c>
      <x:c r="E4" s="17" t="str">
        <x:v>활용 범위</x:v>
      </x:c>
    </x:row>
    <x:row r="5" ht="41" customHeight="1">
      <x:c r="A5" s="24" t="str">
        <x:v>국내 공식</x:v>
      </x:c>
      <x:c r="B5" s="24" t="str">
        <x:v>금융위원회</x:v>
      </x:c>
      <x:c r="C5" s="34" t="str">
        <x:v>외부감사제도의 기본 구조 및 감사 절차</x:v>
      </x:c>
      <x:c r="D5" s="34" t="str">
        <x:v>https://www.fsc.go.kr/po010101/62642</x:v>
      </x:c>
      <x:c r="E5" s="34" t="str">
        <x:v>감사인과 회사 역할 구분</x:v>
      </x:c>
    </x:row>
    <x:row r="6" ht="41" customHeight="1">
      <x:c r="A6" s="26" t="str">
        <x:v>국내 공식</x:v>
      </x:c>
      <x:c r="B6" s="26" t="str">
        <x:v>금융감독원/KDI</x:v>
      </x:c>
      <x:c r="C6" s="35" t="str">
        <x:v>2025년 기업 결산 및 외부감사 유의사항 안내</x:v>
      </x:c>
      <x:c r="D6" s="35" t="str">
        <x:v>https://eiec.kdi.re.kr/policy/materialView.do?num=275104</x:v>
      </x:c>
      <x:c r="E6" s="35" t="str">
        <x:v>회사 작성 재무제표 및 감사 관련 유의사항</x:v>
      </x:c>
    </x:row>
    <x:row r="7" ht="41" customHeight="1">
      <x:c r="A7" s="24" t="str">
        <x:v>공개 실무 템플릿</x:v>
      </x:c>
      <x:c r="B7" s="24" t="str">
        <x:v>FirmHello</x:v>
      </x:c>
      <x:c r="C7" s="34" t="str">
        <x:v>PBC 요청목록: TB/GL, 은행잔액조정, AR aging 등</x:v>
      </x:c>
      <x:c r="D7" s="34" t="str">
        <x:v>https://firmhello.com/pbc-list</x:v>
      </x:c>
      <x:c r="E7" s="34" t="str">
        <x:v>요청 자료 유형·진행상태 예시</x:v>
      </x:c>
    </x:row>
    <x:row r="8" ht="41" customHeight="1">
      <x:c r="A8" s="26" t="str">
        <x:v>공개 실무 템플릿</x:v>
      </x:c>
      <x:c r="B8" s="26" t="str">
        <x:v>FileRequestPro</x:v>
      </x:c>
      <x:c r="C8" s="35" t="str">
        <x:v>PBC 체크리스트: GL, TB, 채권명세, 자산대장 등</x:v>
      </x:c>
      <x:c r="D8" s="35" t="str">
        <x:v>https://filerequestpro.com/articles/pbc-list</x:v>
      </x:c>
      <x:c r="E8" s="35" t="str">
        <x:v>자료 항목 목록 구성</x:v>
      </x:c>
    </x:row>
    <x:row r="9" ht="41" customHeight="1">
      <x:c r="A9" s="24" t="str">
        <x:v>공개 실무 템플릿</x:v>
      </x:c>
      <x:c r="B9" s="24" t="str">
        <x:v>CreoData</x:v>
      </x:c>
      <x:c r="C9" s="34" t="str">
        <x:v>감사 자료요청 표의 일반적인 컬럼 및 항목</x:v>
      </x:c>
      <x:c r="D9" s="34" t="str">
        <x:v>https://www.creodata.com/blog/pbc-list-audit-request-list-template/</x:v>
      </x:c>
      <x:c r="E9" s="34" t="str">
        <x:v>PBC목록 아이디어</x:v>
      </x:c>
    </x:row>
    <x:row r="10" ht="41" customHeight="1">
      <x:c r="A10" s="26" t="str">
        <x:v>교육용 공개 예시</x:v>
      </x:c>
      <x:c r="B10" s="26" t="str">
        <x:v>UWorld / AICPA 문제</x:v>
      </x:c>
      <x:c r="C10" s="35" t="str">
        <x:v>은행잔액조정 예시 S.20 (실제 형식 참고)</x:v>
      </x:c>
      <x:c r="D10" s="35" t="str">
        <x:v>https://apps.uworld.com/assets/TestInterface/data/cpa/aicpareleasedquestions/2023_AICPA_Questions-AUD.pdf</x:v>
      </x:c>
      <x:c r="E10" s="35" t="str">
        <x:v>은행 조정표의 구조를 참고 (재사용 아님)</x:v>
      </x:c>
    </x:row>
    <x:row r="11" ht="41" customHeight="1">
      <x:c r="A11" s="24" t="str">
        <x:v>공개 실무 예시</x:v>
      </x:c>
      <x:c r="B11" s="24" t="str">
        <x:v>AICPA staff 샘플</x:v>
      </x:c>
      <x:c r="C11" s="34" t="str">
        <x:v>매출채권 감사절차 프로그램 예시</x:v>
      </x:c>
      <x:c r="D11" s="34" t="str">
        <x:v>https://app.lla.la.gov/publicreports.nsf/0/86256ea9004c005986256edf001a1e89/$file/40b5ebc2.pdf</x:v>
      </x:c>
      <x:c r="E11" s="34" t="str">
        <x:v>AR 원장 대사·표본·증빙 검토 흐름</x:v>
      </x:c>
    </x:row>
    <x:row r="14" ht="29" customHeight="1">
      <x:c r="A14" s="88" t="str">
        <x:v>샘플 사용 전 반드시 알아둘 사항</x:v>
      </x:c>
      <x:c r="B14" s="88"/>
      <x:c r="C14" s="88"/>
      <x:c r="D14" s="88"/>
      <x:c r="E14" s="88"/>
    </x:row>
    <x:row r="15" ht="28" customHeight="1">
      <x:c r="A15" s="92" t="str">
        <x:v>회사·거래처·금액·전표번호·은행거래·감사 검토 내용은 모두 가상으로 만든 데이터입니다.</x:v>
      </x:c>
      <x:c r="B15" s="92"/>
      <x:c r="C15" s="92"/>
      <x:c r="D15" s="92"/>
      <x:c r="E15" s="92"/>
    </x:row>
    <x:row r="16" ht="28" customHeight="1">
      <x:c r="A16" s="90" t="str">
        <x:v>실무에서는 ERP별 다운로드 구조가 다르고, 회사에서 제출한 서식·조서 포맷이 법인별로 달라질 수 있습니다.</x:v>
      </x:c>
      <x:c r="B16" s="90"/>
      <x:c r="C16" s="90"/>
      <x:c r="D16" s="90"/>
      <x:c r="E16" s="90"/>
    </x:row>
    <x:row r="17" ht="28" customHeight="1">
      <x:c r="A17" s="92" t="str">
        <x:v>별도의 원본 PDF/XML·외부조회 회신은 제공하지 않았습니다. '증빙파일' 열은 파일 이름을 표시하는 색인입니다.</x:v>
      </x:c>
      <x:c r="B17" s="92"/>
      <x:c r="C17" s="92"/>
      <x:c r="D17" s="92"/>
      <x:c r="E17" s="92"/>
    </x:row>
    <x:row r="18" ht="28" customHeight="1">
      <x:c r="A18" s="90" t="str">
        <x:v>의도된 불일치: AR 명세 v2에서 S-251221-07의 공급가액이 41,000,000 → 45,000,000원으로 바뀌지만 GL/증빙은 v1 상태입니다.</x:v>
      </x:c>
      <x:c r="B18" s="90"/>
      <x:c r="C18" s="90"/>
      <x:c r="D18" s="90"/>
      <x:c r="E18" s="90"/>
    </x:row>
    <x:row r="19" ht="28" customHeight="1">
      <x:c r="A19" s="92" t="str">
        <x:v>의도된 비금액 변경: S-251109-04의 지급기한이 2025-12-05 → 2026-01-15로 바뀌어 연체 구간이 달라집니다.</x:v>
      </x:c>
      <x:c r="B19" s="92"/>
      <x:c r="C19" s="92"/>
      <x:c r="D19" s="92"/>
      <x:c r="E19" s="92"/>
    </x:row>
    <x:row r="20" ht="28" customHeight="1">
      <x:c r="A20" s="90" t="str">
        <x:v>세무·회계처리 및 감사절차를 단순화했으므로 실제 재무제표 작성·감사에 그대로 사용해서는 안 됩니다.</x:v>
      </x:c>
      <x:c r="B20" s="90"/>
      <x:c r="C20" s="90"/>
      <x:c r="D20" s="90"/>
      <x:c r="E20" s="90"/>
    </x:row>
  </x:sheetData>
  <x:mergeCells>
    <x:mergeCell ref="A1:E1"/>
    <x:mergeCell ref="A2:E2"/>
    <x:mergeCell ref="A14:E14"/>
    <x:mergeCell ref="A15:E15"/>
    <x:mergeCell ref="A16:E16"/>
    <x:mergeCell ref="A17:E17"/>
    <x:mergeCell ref="A18:E18"/>
    <x:mergeCell ref="A19:E19"/>
    <x:mergeCell ref="A20:E20"/>
  </x:mergeCells>
  <x:pageMargins left="0.7" right="0.7" top="0.75" bottom="0.75" header="0.3" footer="0.3"/>
</x:worksheet>
</file>